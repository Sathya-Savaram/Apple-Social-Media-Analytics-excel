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THYA SAVARAM\Downloads\C2 Project _Apple Social Media Analytics\"/>
    </mc:Choice>
  </mc:AlternateContent>
  <xr:revisionPtr revIDLastSave="0" documentId="13_ncr:1_{9CCD31E4-977B-4D0C-862D-5F9F9D79ECC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ask 3.1" sheetId="7" r:id="rId1"/>
    <sheet name="Task 3.2" sheetId="2" r:id="rId2"/>
    <sheet name="Task 3.3" sheetId="3" r:id="rId3"/>
    <sheet name="Task 3.4" sheetId="5" r:id="rId4"/>
  </sheet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A5A898-815A-46FB-9A8F-28419CA8A5C1}" keepAlive="1" name="Query - Engagement Summary" description="Connection to the 'Engagement Summary' query in the workbook." type="5" refreshedVersion="8" background="1">
    <dbPr connection="Provider=Microsoft.Mashup.OleDb.1;Data Source=$Workbook$;Location=&quot;Engagement Summary&quot;;Extended Properties=&quot;&quot;" command="SELECT * FROM [Engagement Summary]"/>
  </connection>
  <connection id="2" xr16:uid="{67B8AA01-2F6A-4F8E-B5E6-4A31759C9B6D}" keepAlive="1" name="Query - Posts" description="Connection to the 'Posts' query in the workbook." type="5" refreshedVersion="8" background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<sst xmlns="http://schemas.openxmlformats.org/spreadsheetml/2006/main" count="43" uniqueCount="24">
  <si>
    <t>Instagram</t>
  </si>
  <si>
    <t>LinkedIn</t>
  </si>
  <si>
    <t>Twitter</t>
  </si>
  <si>
    <t>YouTube</t>
  </si>
  <si>
    <t>Grand Total</t>
  </si>
  <si>
    <t>Platform</t>
  </si>
  <si>
    <t>Average of Engagement_Rate</t>
  </si>
  <si>
    <t>Sum of Net_Followers</t>
  </si>
  <si>
    <t>Sum of Ad_Spend in Lakhs</t>
  </si>
  <si>
    <t>Apple Event September 2025</t>
  </si>
  <si>
    <t>Apple Watch Ultra 2 Launch</t>
  </si>
  <si>
    <t>iPhone 16 Launch</t>
  </si>
  <si>
    <t>MacBook Air M3 Campaign</t>
  </si>
  <si>
    <t>Sustainability Awareness Drive</t>
  </si>
  <si>
    <t>Average of Engagement Rate</t>
  </si>
  <si>
    <t>Campaign</t>
  </si>
  <si>
    <t>Sum of Ad_Spend(in Lakhs)</t>
  </si>
  <si>
    <t>Task 3.4 Advise Apple’s team: Should they focus on YouTube + Instagram (videos + visuals) or continue a multi-platform strategy?</t>
  </si>
  <si>
    <t xml:space="preserve">Task 3.3 Visualize Engagement vs. Ad Spend per platform. </t>
  </si>
  <si>
    <t xml:space="preserve">Task 3.2 Compare follower growth rates across platforms. </t>
  </si>
  <si>
    <t xml:space="preserve">Task 3.1   Identify the platform with highest engagement (e.g., Twitter for announcements vs. YouTube for product demos). </t>
  </si>
  <si>
    <t xml:space="preserve">1. Prioritize Instagram + YouTube for highest engagement with visual content. </t>
  </si>
  <si>
    <t>2. Keep a multi-platform presence to maintain wider audience reach.</t>
  </si>
  <si>
    <t>Recommendations: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</si>
</sst>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pivotButton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pivotButton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pivotButton="1" applyFont="1" applyBorder="1" applyAlignment="1">
      <alignment horizontal="center"/>
    </xf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1" fillId="3" borderId="0" xfId="0" applyFont="1" applyFill="1"/>
  </cellXfs>
  <cellStyles count="1">
    <cellStyle name="Normal" xfId="0" builtinId="0"/>
  </cellStyles>
  <dxfs count="68"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3 - Platform Analysis .xlsx]Task 3.2!PivotTable6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Follower growth across platforms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3.2'!$B$1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3.2'!$A$2:$A$6</c:f>
              <c:strCache>
                <c:ptCount val="4"/>
                <c:pt idx="0">
                  <c:v>Twitter</c:v>
                </c:pt>
                <c:pt idx="1">
                  <c:v>LinkedIn</c:v>
                </c:pt>
                <c:pt idx="2">
                  <c:v>Instagram</c:v>
                </c:pt>
                <c:pt idx="3">
                  <c:v>YouTube</c:v>
                </c:pt>
              </c:strCache>
            </c:strRef>
          </c:cat>
          <c:val>
            <c:numRef>
              <c:f>'Task 3.2'!$B$2:$B$6</c:f>
              <c:numCache>
                <c:formatCode>General</c:formatCode>
                <c:ptCount val="4"/>
                <c:pt idx="0">
                  <c:v>303407</c:v>
                </c:pt>
                <c:pt idx="1">
                  <c:v>290487</c:v>
                </c:pt>
                <c:pt idx="2">
                  <c:v>261862</c:v>
                </c:pt>
                <c:pt idx="3">
                  <c:v>230642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3-431F-BF97-51324AAAE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9154544"/>
        <c:axId val="859138224"/>
      </c:barChart>
      <c:catAx>
        <c:axId val="85915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138224"/>
        <c:crosses val="autoZero"/>
        <c:auto val="1"/>
        <c:lblAlgn val="ctr"/>
        <c:lblOffset val="100"/>
        <c:noMultiLvlLbl val="0"/>
      </c:catAx>
      <c:valAx>
        <c:axId val="85913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15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3 - Platform Analysis .xlsx]Task 3.3!PivotTable1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Engagement vs  Ad_Spend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3.3'!$B$1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3.3'!$A$2:$A$5</c:f>
              <c:strCache>
                <c:ptCount val="4"/>
                <c:pt idx="0">
                  <c:v>YouTube</c:v>
                </c:pt>
                <c:pt idx="1">
                  <c:v>Twitter</c:v>
                </c:pt>
                <c:pt idx="2">
                  <c:v>LinkedIn</c:v>
                </c:pt>
                <c:pt idx="3">
                  <c:v>Instagram</c:v>
                </c:pt>
              </c:strCache>
            </c:strRef>
          </c:cat>
          <c:val>
            <c:numRef>
              <c:f>'Task 3.3'!$B$2:$B$5</c:f>
              <c:numCache>
                <c:formatCode>0.00</c:formatCode>
                <c:ptCount val="4"/>
                <c:pt idx="0">
                  <c:v>17.599262914182141</c:v>
                </c:pt>
                <c:pt idx="1">
                  <c:v>17.480513118999934</c:v>
                </c:pt>
                <c:pt idx="2">
                  <c:v>14.067998324800023</c:v>
                </c:pt>
                <c:pt idx="3">
                  <c:v>15.559291798886182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8-4E4A-9311-0BF323A2E608}"/>
            </c:ext>
          </c:extLst>
        </c:ser>
        <c:ser>
          <c:idx val="1"/>
          <c:order val="1"/>
          <c:tx>
            <c:strRef>
              <c:f>'Task 3.3'!$C$1</c:f>
              <c:strCache>
                <c:ptCount val="1"/>
                <c:pt idx="0">
                  <c:v>Sum of Ad_Spend in Lakhs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3.3'!$A$2:$A$5</c:f>
              <c:strCache>
                <c:ptCount val="4"/>
                <c:pt idx="0">
                  <c:v>YouTube</c:v>
                </c:pt>
                <c:pt idx="1">
                  <c:v>Twitter</c:v>
                </c:pt>
                <c:pt idx="2">
                  <c:v>LinkedIn</c:v>
                </c:pt>
                <c:pt idx="3">
                  <c:v>Instagram</c:v>
                </c:pt>
              </c:strCache>
            </c:strRef>
          </c:cat>
          <c:val>
            <c:numRef>
              <c:f>'Task 3.3'!$C$2:$C$5</c:f>
              <c:numCache>
                <c:formatCode>0.00</c:formatCode>
                <c:ptCount val="4"/>
                <c:pt idx="0">
                  <c:v>12.863709999999999</c:v>
                </c:pt>
                <c:pt idx="1">
                  <c:v>18.740830000000003</c:v>
                </c:pt>
                <c:pt idx="2">
                  <c:v>19.90523</c:v>
                </c:pt>
                <c:pt idx="3">
                  <c:v>17.75883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18-4E4A-9311-0BF323A2E6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46823231"/>
        <c:axId val="1546823711"/>
      </c:barChart>
      <c:catAx>
        <c:axId val="1546823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823711"/>
        <c:crosses val="autoZero"/>
        <c:auto val="1"/>
        <c:lblAlgn val="ctr"/>
        <c:lblOffset val="100"/>
        <c:noMultiLvlLbl val="0"/>
      </c:catAx>
      <c:valAx>
        <c:axId val="154682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82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914400</xdr:colOff>
      <xdr:row>5</xdr:row>
      <xdr:rowOff>148590</xdr:rowOff>
    </xdr:from>
    <xdr:to>
      <xdr:col>9</xdr:col>
      <xdr:colOff>487680</xdr:colOff>
      <xdr:row>20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7C0592-2942-3AB5-71BA-F68687C95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9</xdr:row>
      <xdr:rowOff>41910</xdr:rowOff>
    </xdr:from>
    <xdr:to>
      <xdr:col>7</xdr:col>
      <xdr:colOff>243840</xdr:colOff>
      <xdr:row>26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38489E-1355-CE61-36FE-48AE032DC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YA SAVARAM" refreshedDate="45978.990300347221" backgroundQuery="1" createdVersion="8" refreshedVersion="8" minRefreshableVersion="3" recordCount="200" xr:uid="{FD083A88-B5D3-4EE8-B650-7F06247BF80C}">
  <cacheSource type="external" connectionId="1"/>
  <cacheFields count="9">
    <cacheField name="Week_Start_Date" numFmtId="0">
      <sharedItems containsSemiMixedTypes="0" containsNonDate="0" containsDate="1" containsString="0" minDate="2024-06-03T00:00:00" maxDate="2025-05-13T00:00:00"/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0">
      <sharedItems containsSemiMixedTypes="0" containsString="0" containsNumber="1" containsInteger="1" minValue="10161" maxValue="59823"/>
    </cacheField>
    <cacheField name="Net_Followers" numFmtId="0">
      <sharedItems containsSemiMixedTypes="0" containsString="0" containsNumber="1" containsInteger="1" minValue="893" maxValue="9335"/>
    </cacheField>
    <cacheField name="Ad_Spend in Lakhs" numFmtId="0">
      <sharedItems containsSemiMixedTypes="0" containsString="0" containsNumber="1" minValue="0.10161000000000001" maxValue="0.59823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YA SAVARAM" refreshedDate="45989.466484027776" backgroundQuery="1" createdVersion="8" refreshedVersion="8" minRefreshableVersion="3" recordCount="300" xr:uid="{3B941178-EC98-4859-9CE8-2C50F315D470}">
  <cacheSource type="external" connectionId="2"/>
  <cacheFields count="13">
    <cacheField name="PostID" numFmtId="0">
      <sharedItems/>
    </cacheField>
    <cacheField name="Platform" numFmtId="0">
      <sharedItems count="4">
        <s v="YouTube"/>
        <s v="LinkedIn"/>
        <s v="Instagram"/>
        <s v="Twitter"/>
      </sharedItems>
    </cacheField>
    <cacheField name="Date" numFmtId="0">
      <sharedItems containsSemiMixedTypes="0" containsNonDate="0" containsDate="1" containsString="0" minDate="2024-06-01T00:00:00" maxDate="2025-10-16T00:00:00"/>
    </cacheField>
    <cacheField name="ContentType" numFmtId="0">
      <sharedItems count="4">
        <s v="Image"/>
        <s v="Tweet"/>
        <s v="Video"/>
        <s v="Carousel"/>
      </sharedItems>
    </cacheField>
    <cacheField name="Hashtags" numFmtId="0">
      <sharedItems count="12">
        <s v="#AppleWatchUltra2 #HealthTech"/>
        <s v="#MacBookAirM3 #AppleInnovation"/>
        <s v="#AppleDesign #Innovation"/>
        <s v="#AppleEvent #iPadPro"/>
        <s v="#ShotOniPhone"/>
        <s v="#AppleMusic #AppleLifestyle"/>
        <s v="#AppleWatch #Health"/>
        <s v="#iPhone16Launch #AppleEvent"/>
        <s v="#AppleEvent #iPhone16"/>
        <s v="#iPhonePhotography #ShotOniPhone"/>
        <s v="#MacBookProM3"/>
        <s v="#Sustainability #AppleEarth"/>
      </sharedItems>
    </cacheField>
    <cacheField name="Likes" numFmtId="0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0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Campaign" numFmtId="0">
      <sharedItems count="5">
        <s v="Apple Watch Ultra 2 Launch"/>
        <s v="Apple Event September 2025"/>
        <s v="Sustainability Awareness Drive"/>
        <s v="iPhone 16 Launch"/>
        <s v="MacBook Air M3 Campaign"/>
      </sharedItems>
    </cacheField>
    <cacheField name="Engagement Rate" numFmtId="0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4138"/>
    <n v="361"/>
    <n v="103777"/>
    <n v="56.637790647253247"/>
    <n v="23944"/>
    <n v="3777"/>
    <n v="0.23943999999999999"/>
  </r>
  <r>
    <d v="2024-06-03T00:00:00"/>
    <x v="1"/>
    <n v="8693"/>
    <n v="1261"/>
    <n v="111209"/>
    <n v="69.475492091467416"/>
    <n v="29873"/>
    <n v="7432"/>
    <n v="0.29873"/>
  </r>
  <r>
    <d v="2024-06-03T00:00:00"/>
    <x v="2"/>
    <n v="9264"/>
    <n v="1141"/>
    <n v="119332"/>
    <n v="92.312204605638044"/>
    <n v="50372"/>
    <n v="8123"/>
    <n v="0.50371999999999995"/>
  </r>
  <r>
    <d v="2024-06-03T00:00:00"/>
    <x v="2"/>
    <n v="8842"/>
    <n v="971"/>
    <n v="127203"/>
    <n v="16.351815601833291"/>
    <n v="33928"/>
    <n v="7871"/>
    <n v="0.33928000000000003"/>
  </r>
  <r>
    <d v="2024-06-10T00:00:00"/>
    <x v="0"/>
    <n v="7721"/>
    <n v="506"/>
    <n v="134418"/>
    <n v="35.577824398518047"/>
    <n v="25379"/>
    <n v="7215"/>
    <n v="0.25379000000000002"/>
  </r>
  <r>
    <d v="2024-06-10T00:00:00"/>
    <x v="2"/>
    <n v="8002"/>
    <n v="524"/>
    <n v="141896"/>
    <n v="52.064892597395271"/>
    <n v="46751"/>
    <n v="7478"/>
    <n v="0.46750999999999998"/>
  </r>
  <r>
    <d v="2024-06-10T00:00:00"/>
    <x v="1"/>
    <n v="5225"/>
    <n v="291"/>
    <n v="146830"/>
    <n v="19.551862698358651"/>
    <n v="44546"/>
    <n v="4934"/>
    <n v="0.44546000000000002"/>
  </r>
  <r>
    <d v="2024-06-10T00:00:00"/>
    <x v="1"/>
    <n v="3978"/>
    <n v="543"/>
    <n v="150265"/>
    <n v="49.159817655475329"/>
    <n v="34286"/>
    <n v="3435"/>
    <n v="0.34286"/>
  </r>
  <r>
    <d v="2024-06-17T00:00:00"/>
    <x v="0"/>
    <n v="8373"/>
    <n v="921"/>
    <n v="157717"/>
    <n v="12.2263294381709"/>
    <n v="15110"/>
    <n v="7452"/>
    <n v="0.15110000000000001"/>
  </r>
  <r>
    <d v="2024-06-17T00:00:00"/>
    <x v="1"/>
    <n v="6907"/>
    <n v="834"/>
    <n v="163790"/>
    <n v="54.158984064961238"/>
    <n v="22087"/>
    <n v="6073"/>
    <n v="0.22087000000000001"/>
  </r>
  <r>
    <d v="2024-06-17T00:00:00"/>
    <x v="3"/>
    <n v="7097"/>
    <n v="369"/>
    <n v="170518"/>
    <n v="9.2506362964613711"/>
    <n v="33762"/>
    <n v="6728"/>
    <n v="0.33761999999999998"/>
  </r>
  <r>
    <d v="2024-06-17T00:00:00"/>
    <x v="0"/>
    <n v="6656"/>
    <n v="978"/>
    <n v="176196"/>
    <n v="60.425889350496043"/>
    <n v="27081"/>
    <n v="5678"/>
    <n v="0.27081"/>
  </r>
  <r>
    <d v="2024-06-24T00:00:00"/>
    <x v="1"/>
    <n v="9984"/>
    <n v="1330"/>
    <n v="184850"/>
    <n v="57.524479307546663"/>
    <n v="44947"/>
    <n v="8654"/>
    <n v="0.44946999999999998"/>
  </r>
  <r>
    <d v="2024-06-24T00:00:00"/>
    <x v="0"/>
    <n v="5259"/>
    <n v="374"/>
    <n v="189735"/>
    <n v="14.827522597306769"/>
    <n v="19596"/>
    <n v="4885"/>
    <n v="0.19596"/>
  </r>
  <r>
    <d v="2024-06-24T00:00:00"/>
    <x v="2"/>
    <n v="9286"/>
    <n v="633"/>
    <n v="198388"/>
    <n v="5.4343004617214756"/>
    <n v="48019"/>
    <n v="8653"/>
    <n v="0.48019000000000001"/>
  </r>
  <r>
    <d v="2024-06-24T00:00:00"/>
    <x v="1"/>
    <n v="6901"/>
    <n v="471"/>
    <n v="204818"/>
    <n v="60.827661631301943"/>
    <n v="52003"/>
    <n v="6430"/>
    <n v="0.52002999999999999"/>
  </r>
  <r>
    <d v="2024-07-01T00:00:00"/>
    <x v="3"/>
    <n v="5917"/>
    <n v="475"/>
    <n v="210260"/>
    <n v="17.894035955483691"/>
    <n v="28313"/>
    <n v="5442"/>
    <n v="0.28312999999999999"/>
  </r>
  <r>
    <d v="2024-07-01T00:00:00"/>
    <x v="1"/>
    <n v="9429"/>
    <n v="966"/>
    <n v="218723"/>
    <n v="7.6914636320825887"/>
    <n v="57639"/>
    <n v="8463"/>
    <n v="0.57638999999999996"/>
  </r>
  <r>
    <d v="2024-07-01T00:00:00"/>
    <x v="0"/>
    <n v="3530"/>
    <n v="328"/>
    <n v="221925"/>
    <n v="12.8372197814577"/>
    <n v="11013"/>
    <n v="3202"/>
    <n v="0.11013000000000001"/>
  </r>
  <r>
    <d v="2024-07-01T00:00:00"/>
    <x v="0"/>
    <n v="2960"/>
    <n v="234"/>
    <n v="224651"/>
    <n v="17.41278694508371"/>
    <n v="59378"/>
    <n v="2726"/>
    <n v="0.59377999999999997"/>
  </r>
  <r>
    <d v="2024-07-08T00:00:00"/>
    <x v="1"/>
    <n v="8045"/>
    <n v="894"/>
    <n v="231802"/>
    <n v="47.634187798207087"/>
    <n v="33705"/>
    <n v="7151"/>
    <n v="0.33705000000000002"/>
  </r>
  <r>
    <d v="2024-07-08T00:00:00"/>
    <x v="3"/>
    <n v="2048"/>
    <n v="130"/>
    <n v="233720"/>
    <n v="39.284614068115687"/>
    <n v="11828"/>
    <n v="1918"/>
    <n v="0.11828"/>
  </r>
  <r>
    <d v="2024-07-08T00:00:00"/>
    <x v="3"/>
    <n v="6772"/>
    <n v="536"/>
    <n v="239956"/>
    <n v="9.8205504342462788"/>
    <n v="17909"/>
    <n v="6236"/>
    <n v="0.17909"/>
  </r>
  <r>
    <d v="2024-07-08T00:00:00"/>
    <x v="3"/>
    <n v="3529"/>
    <n v="305"/>
    <n v="243180"/>
    <n v="41.606628834608109"/>
    <n v="48356"/>
    <n v="3224"/>
    <n v="0.48355999999999999"/>
  </r>
  <r>
    <d v="2024-07-15T00:00:00"/>
    <x v="0"/>
    <n v="3964"/>
    <n v="378"/>
    <n v="246766"/>
    <n v="13.6355899921383"/>
    <n v="23109"/>
    <n v="3586"/>
    <n v="0.23108999999999999"/>
  </r>
  <r>
    <d v="2024-07-15T00:00:00"/>
    <x v="1"/>
    <n v="8137"/>
    <n v="1045"/>
    <n v="253858"/>
    <n v="20.47246886054408"/>
    <n v="12023"/>
    <n v="7092"/>
    <n v="0.12023"/>
  </r>
  <r>
    <d v="2024-07-15T00:00:00"/>
    <x v="2"/>
    <n v="1963"/>
    <n v="137"/>
    <n v="255684"/>
    <n v="11.2083665774941"/>
    <n v="24537"/>
    <n v="1826"/>
    <n v="0.24537"/>
  </r>
  <r>
    <d v="2024-07-15T00:00:00"/>
    <x v="0"/>
    <n v="1536"/>
    <n v="155"/>
    <n v="257065"/>
    <n v="12.15762550327738"/>
    <n v="36661"/>
    <n v="1381"/>
    <n v="0.36660999999999999"/>
  </r>
  <r>
    <d v="2024-07-22T00:00:00"/>
    <x v="3"/>
    <n v="8340"/>
    <n v="911"/>
    <n v="264494"/>
    <n v="37.302925586213682"/>
    <n v="48659"/>
    <n v="7429"/>
    <n v="0.48659000000000002"/>
  </r>
  <r>
    <d v="2024-07-22T00:00:00"/>
    <x v="1"/>
    <n v="8179"/>
    <n v="446"/>
    <n v="272227"/>
    <n v="41.82171496581897"/>
    <n v="43848"/>
    <n v="7733"/>
    <n v="0.43847999999999998"/>
  </r>
  <r>
    <d v="2024-07-22T00:00:00"/>
    <x v="3"/>
    <n v="8967"/>
    <n v="993"/>
    <n v="280201"/>
    <n v="52.792102811910027"/>
    <n v="47804"/>
    <n v="7974"/>
    <n v="0.47804000000000002"/>
  </r>
  <r>
    <d v="2024-07-22T00:00:00"/>
    <x v="2"/>
    <n v="9734"/>
    <n v="652"/>
    <n v="289283"/>
    <n v="49.647922622483861"/>
    <n v="25379"/>
    <n v="9082"/>
    <n v="0.25379000000000002"/>
  </r>
  <r>
    <d v="2024-07-29T00:00:00"/>
    <x v="3"/>
    <n v="1845"/>
    <n v="104"/>
    <n v="291024"/>
    <n v="28.158158777282971"/>
    <n v="37766"/>
    <n v="1741"/>
    <n v="0.37766"/>
  </r>
  <r>
    <d v="2024-07-29T00:00:00"/>
    <x v="3"/>
    <n v="6777"/>
    <n v="981"/>
    <n v="296820"/>
    <n v="23.920557913887201"/>
    <n v="53590"/>
    <n v="5796"/>
    <n v="0.53590000000000004"/>
  </r>
  <r>
    <d v="2024-07-29T00:00:00"/>
    <x v="2"/>
    <n v="4036"/>
    <n v="591"/>
    <n v="300265"/>
    <n v="44.219272975538267"/>
    <n v="12563"/>
    <n v="3445"/>
    <n v="0.12562999999999999"/>
  </r>
  <r>
    <d v="2024-07-29T00:00:00"/>
    <x v="1"/>
    <n v="6947"/>
    <n v="908"/>
    <n v="306304"/>
    <n v="14.117673944839121"/>
    <n v="46060"/>
    <n v="6039"/>
    <n v="0.46060000000000001"/>
  </r>
  <r>
    <d v="2024-08-05T00:00:00"/>
    <x v="0"/>
    <n v="3494"/>
    <n v="281"/>
    <n v="309517"/>
    <n v="27.765518533715429"/>
    <n v="39197"/>
    <n v="3213"/>
    <n v="0.39196999999999999"/>
  </r>
  <r>
    <d v="2024-08-05T00:00:00"/>
    <x v="1"/>
    <n v="3719"/>
    <n v="222"/>
    <n v="313014"/>
    <n v="21.669318305251519"/>
    <n v="13586"/>
    <n v="3497"/>
    <n v="0.13586000000000001"/>
  </r>
  <r>
    <d v="2024-08-05T00:00:00"/>
    <x v="2"/>
    <n v="2884"/>
    <n v="341"/>
    <n v="315557"/>
    <n v="46.999749649033298"/>
    <n v="26087"/>
    <n v="2543"/>
    <n v="0.26086999999999999"/>
  </r>
  <r>
    <d v="2024-08-05T00:00:00"/>
    <x v="3"/>
    <n v="5349"/>
    <n v="502"/>
    <n v="320404"/>
    <n v="5.2152906954969351"/>
    <n v="58868"/>
    <n v="4847"/>
    <n v="0.58867999999999998"/>
  </r>
  <r>
    <d v="2024-08-12T00:00:00"/>
    <x v="1"/>
    <n v="6179"/>
    <n v="384"/>
    <n v="326199"/>
    <n v="14.71218489327067"/>
    <n v="33225"/>
    <n v="5795"/>
    <n v="0.33224999999999999"/>
  </r>
  <r>
    <d v="2024-08-12T00:00:00"/>
    <x v="0"/>
    <n v="7610"/>
    <n v="757"/>
    <n v="333052"/>
    <n v="44.450416151231643"/>
    <n v="39750"/>
    <n v="6853"/>
    <n v="0.39750000000000002"/>
  </r>
  <r>
    <d v="2024-08-12T00:00:00"/>
    <x v="2"/>
    <n v="7430"/>
    <n v="397"/>
    <n v="340085"/>
    <n v="28.065042562888689"/>
    <n v="16643"/>
    <n v="7033"/>
    <n v="0.16642999999999999"/>
  </r>
  <r>
    <d v="2024-08-12T00:00:00"/>
    <x v="1"/>
    <n v="8154"/>
    <n v="1149"/>
    <n v="347090"/>
    <n v="26.003918292085629"/>
    <n v="37523"/>
    <n v="7005"/>
    <n v="0.37523000000000001"/>
  </r>
  <r>
    <d v="2024-08-19T00:00:00"/>
    <x v="0"/>
    <n v="7488"/>
    <n v="568"/>
    <n v="354010"/>
    <n v="13.47730290104799"/>
    <n v="46727"/>
    <n v="6920"/>
    <n v="0.46727000000000002"/>
  </r>
  <r>
    <d v="2024-08-19T00:00:00"/>
    <x v="2"/>
    <n v="5737"/>
    <n v="666"/>
    <n v="359081"/>
    <n v="4.6034181702735593"/>
    <n v="21005"/>
    <n v="5071"/>
    <n v="0.21004999999999999"/>
  </r>
  <r>
    <d v="2024-08-19T00:00:00"/>
    <x v="0"/>
    <n v="7525"/>
    <n v="610"/>
    <n v="365996"/>
    <n v="5.7694619613329108"/>
    <n v="53543"/>
    <n v="6915"/>
    <n v="0.53542999999999996"/>
  </r>
  <r>
    <d v="2024-08-19T00:00:00"/>
    <x v="2"/>
    <n v="4850"/>
    <n v="494"/>
    <n v="370352"/>
    <n v="20.46539508359615"/>
    <n v="10161"/>
    <n v="4356"/>
    <n v="0.10161000000000001"/>
  </r>
  <r>
    <d v="2024-08-26T00:00:00"/>
    <x v="3"/>
    <n v="1689"/>
    <n v="176"/>
    <n v="371865"/>
    <n v="38.012181840183942"/>
    <n v="26029"/>
    <n v="1513"/>
    <n v="0.26029000000000002"/>
  </r>
  <r>
    <d v="2024-08-26T00:00:00"/>
    <x v="1"/>
    <n v="6175"/>
    <n v="422"/>
    <n v="377618"/>
    <n v="37.86101298137271"/>
    <n v="59745"/>
    <n v="5753"/>
    <n v="0.59745000000000004"/>
  </r>
  <r>
    <d v="2024-08-26T00:00:00"/>
    <x v="0"/>
    <n v="9648"/>
    <n v="1417"/>
    <n v="385849"/>
    <n v="3.6633501706626168"/>
    <n v="24226"/>
    <n v="8231"/>
    <n v="0.24226"/>
  </r>
  <r>
    <d v="2024-08-26T00:00:00"/>
    <x v="2"/>
    <n v="6078"/>
    <n v="775"/>
    <n v="391152"/>
    <n v="37.760512537325639"/>
    <n v="38731"/>
    <n v="5303"/>
    <n v="0.38730999999999999"/>
  </r>
  <r>
    <d v="2024-09-02T00:00:00"/>
    <x v="0"/>
    <n v="6448"/>
    <n v="928"/>
    <n v="396672"/>
    <n v="30.118586640851881"/>
    <n v="53922"/>
    <n v="5520"/>
    <n v="0.53922000000000003"/>
  </r>
  <r>
    <d v="2024-09-02T00:00:00"/>
    <x v="0"/>
    <n v="2179"/>
    <n v="303"/>
    <n v="398548"/>
    <n v="33.909842729106657"/>
    <n v="54848"/>
    <n v="1876"/>
    <n v="0.54847999999999997"/>
  </r>
  <r>
    <d v="2024-09-02T00:00:00"/>
    <x v="1"/>
    <n v="7406"/>
    <n v="813"/>
    <n v="405141"/>
    <n v="24.457411123534769"/>
    <n v="13390"/>
    <n v="6593"/>
    <n v="0.13389999999999999"/>
  </r>
  <r>
    <d v="2024-09-02T00:00:00"/>
    <x v="3"/>
    <n v="9591"/>
    <n v="1363"/>
    <n v="413369"/>
    <n v="10.494255737609739"/>
    <n v="15997"/>
    <n v="8228"/>
    <n v="0.15997"/>
  </r>
  <r>
    <d v="2024-09-09T00:00:00"/>
    <x v="0"/>
    <n v="7907"/>
    <n v="465"/>
    <n v="420811"/>
    <n v="33.257448118038738"/>
    <n v="22693"/>
    <n v="7442"/>
    <n v="0.22692999999999999"/>
  </r>
  <r>
    <d v="2024-09-09T00:00:00"/>
    <x v="2"/>
    <n v="9800"/>
    <n v="682"/>
    <n v="429929"/>
    <n v="6.2966210699906267"/>
    <n v="59815"/>
    <n v="9118"/>
    <n v="0.59814999999999996"/>
  </r>
  <r>
    <d v="2024-09-09T00:00:00"/>
    <x v="2"/>
    <n v="2638"/>
    <n v="143"/>
    <n v="432424"/>
    <n v="6.9547481175882924"/>
    <n v="52092"/>
    <n v="2495"/>
    <n v="0.52092000000000005"/>
  </r>
  <r>
    <d v="2024-09-09T00:00:00"/>
    <x v="3"/>
    <n v="6671"/>
    <n v="550"/>
    <n v="438545"/>
    <n v="17.750287883797562"/>
    <n v="10541"/>
    <n v="6121"/>
    <n v="0.10541"/>
  </r>
  <r>
    <d v="2024-09-16T00:00:00"/>
    <x v="2"/>
    <n v="7928"/>
    <n v="704"/>
    <n v="445769"/>
    <n v="11.194362999670229"/>
    <n v="31817"/>
    <n v="7224"/>
    <n v="0.31817000000000001"/>
  </r>
  <r>
    <d v="2024-09-16T00:00:00"/>
    <x v="3"/>
    <n v="2382"/>
    <n v="183"/>
    <n v="447968"/>
    <n v="4.7335970426459033"/>
    <n v="47861"/>
    <n v="2199"/>
    <n v="0.47860999999999998"/>
  </r>
  <r>
    <d v="2024-09-16T00:00:00"/>
    <x v="2"/>
    <n v="2403"/>
    <n v="319"/>
    <n v="450052"/>
    <n v="29.92120910472568"/>
    <n v="23428"/>
    <n v="2084"/>
    <n v="0.23427999999999999"/>
  </r>
  <r>
    <d v="2024-09-16T00:00:00"/>
    <x v="1"/>
    <n v="4292"/>
    <n v="367"/>
    <n v="453977"/>
    <n v="3.5037017293827661"/>
    <n v="53934"/>
    <n v="3925"/>
    <n v="0.53934000000000004"/>
  </r>
  <r>
    <d v="2024-09-23T00:00:00"/>
    <x v="0"/>
    <n v="1419"/>
    <n v="110"/>
    <n v="455286"/>
    <n v="31.554451487636339"/>
    <n v="58831"/>
    <n v="1309"/>
    <n v="0.58831"/>
  </r>
  <r>
    <d v="2024-09-23T00:00:00"/>
    <x v="1"/>
    <n v="5517"/>
    <n v="575"/>
    <n v="460228"/>
    <n v="29.45844233727631"/>
    <n v="20258"/>
    <n v="4942"/>
    <n v="0.20258000000000001"/>
  </r>
  <r>
    <d v="2024-09-23T00:00:00"/>
    <x v="0"/>
    <n v="4302"/>
    <n v="275"/>
    <n v="464255"/>
    <n v="15.72131694865968"/>
    <n v="26044"/>
    <n v="4027"/>
    <n v="0.26044"/>
  </r>
  <r>
    <d v="2024-09-23T00:00:00"/>
    <x v="0"/>
    <n v="8857"/>
    <n v="1153"/>
    <n v="471959"/>
    <n v="19.214592793018038"/>
    <n v="39411"/>
    <n v="7704"/>
    <n v="0.39411000000000002"/>
  </r>
  <r>
    <d v="2024-09-30T00:00:00"/>
    <x v="0"/>
    <n v="8870"/>
    <n v="509"/>
    <n v="480320"/>
    <n v="25.077864756828781"/>
    <n v="15469"/>
    <n v="8361"/>
    <n v="0.15468999999999999"/>
  </r>
  <r>
    <d v="2024-09-30T00:00:00"/>
    <x v="1"/>
    <n v="6693"/>
    <n v="995"/>
    <n v="486018"/>
    <n v="23.761877132122681"/>
    <n v="38854"/>
    <n v="5698"/>
    <n v="0.38854"/>
  </r>
  <r>
    <d v="2024-09-30T00:00:00"/>
    <x v="0"/>
    <n v="1767"/>
    <n v="224"/>
    <n v="487561"/>
    <n v="13.208603641390511"/>
    <n v="16256"/>
    <n v="1543"/>
    <n v="0.16256000000000001"/>
  </r>
  <r>
    <d v="2024-09-30T00:00:00"/>
    <x v="1"/>
    <n v="3044"/>
    <n v="212"/>
    <n v="490393"/>
    <n v="8.5343795690395261"/>
    <n v="20720"/>
    <n v="2832"/>
    <n v="0.2072"/>
  </r>
  <r>
    <d v="2024-10-07T00:00:00"/>
    <x v="3"/>
    <n v="2549"/>
    <n v="128"/>
    <n v="492814"/>
    <n v="12.734216154573531"/>
    <n v="43937"/>
    <n v="2421"/>
    <n v="0.43936999999999998"/>
  </r>
  <r>
    <d v="2024-10-07T00:00:00"/>
    <x v="2"/>
    <n v="7140"/>
    <n v="939"/>
    <n v="499015"/>
    <n v="25.120888149654821"/>
    <n v="43598"/>
    <n v="6201"/>
    <n v="0.43597999999999998"/>
  </r>
  <r>
    <d v="2024-10-07T00:00:00"/>
    <x v="2"/>
    <n v="4716"/>
    <n v="569"/>
    <n v="503162"/>
    <n v="25.64820077827817"/>
    <n v="11651"/>
    <n v="4147"/>
    <n v="0.11651"/>
  </r>
  <r>
    <d v="2024-10-07T00:00:00"/>
    <x v="0"/>
    <n v="5481"/>
    <n v="673"/>
    <n v="507970"/>
    <n v="13.08758391243577"/>
    <n v="29194"/>
    <n v="4808"/>
    <n v="0.29193999999999998"/>
  </r>
  <r>
    <d v="2024-10-14T00:00:00"/>
    <x v="1"/>
    <n v="8898"/>
    <n v="1131"/>
    <n v="515737"/>
    <n v="2.1877429775253669"/>
    <n v="35051"/>
    <n v="7767"/>
    <n v="0.35050999999999999"/>
  </r>
  <r>
    <d v="2024-10-14T00:00:00"/>
    <x v="2"/>
    <n v="7548"/>
    <n v="433"/>
    <n v="522852"/>
    <n v="8.3562843787534522"/>
    <n v="37386"/>
    <n v="7115"/>
    <n v="0.37386000000000003"/>
  </r>
  <r>
    <d v="2024-10-14T00:00:00"/>
    <x v="1"/>
    <n v="3293"/>
    <n v="282"/>
    <n v="525863"/>
    <n v="27.040693108281051"/>
    <n v="19518"/>
    <n v="3011"/>
    <n v="0.19517999999999999"/>
  </r>
  <r>
    <d v="2024-10-14T00:00:00"/>
    <x v="1"/>
    <n v="5837"/>
    <n v="359"/>
    <n v="531341"/>
    <n v="6.8073045370110723"/>
    <n v="56026"/>
    <n v="5478"/>
    <n v="0.56025999999999998"/>
  </r>
  <r>
    <d v="2024-10-21T00:00:00"/>
    <x v="0"/>
    <n v="8758"/>
    <n v="1193"/>
    <n v="538906"/>
    <n v="3.4213758985797149"/>
    <n v="26184"/>
    <n v="7565"/>
    <n v="0.26184000000000002"/>
  </r>
  <r>
    <d v="2024-10-21T00:00:00"/>
    <x v="2"/>
    <n v="7793"/>
    <n v="875"/>
    <n v="545824"/>
    <n v="5.5136820660139527"/>
    <n v="43787"/>
    <n v="6918"/>
    <n v="0.43786999999999998"/>
  </r>
  <r>
    <d v="2024-10-21T00:00:00"/>
    <x v="0"/>
    <n v="8638"/>
    <n v="717"/>
    <n v="553745"/>
    <n v="26.921416897669499"/>
    <n v="31621"/>
    <n v="7921"/>
    <n v="0.31620999999999999"/>
  </r>
  <r>
    <d v="2024-10-21T00:00:00"/>
    <x v="0"/>
    <n v="8993"/>
    <n v="506"/>
    <n v="562232"/>
    <n v="3.5131404829323132"/>
    <n v="20028"/>
    <n v="8487"/>
    <n v="0.20028000000000001"/>
  </r>
  <r>
    <d v="2024-10-28T00:00:00"/>
    <x v="2"/>
    <n v="7007"/>
    <n v="568"/>
    <n v="568671"/>
    <n v="11.50507059442103"/>
    <n v="22448"/>
    <n v="6439"/>
    <n v="0.22448000000000001"/>
  </r>
  <r>
    <d v="2024-10-28T00:00:00"/>
    <x v="2"/>
    <n v="6542"/>
    <n v="539"/>
    <n v="574674"/>
    <n v="6.4069368024305948"/>
    <n v="55253"/>
    <n v="6003"/>
    <n v="0.55252999999999997"/>
  </r>
  <r>
    <d v="2024-10-28T00:00:00"/>
    <x v="3"/>
    <n v="7356"/>
    <n v="904"/>
    <n v="581126"/>
    <n v="17.560907617280929"/>
    <n v="44051"/>
    <n v="6452"/>
    <n v="0.44051000000000001"/>
  </r>
  <r>
    <d v="2024-10-28T00:00:00"/>
    <x v="3"/>
    <n v="9433"/>
    <n v="1073"/>
    <n v="589486"/>
    <n v="7.2934726185185053"/>
    <n v="59811"/>
    <n v="8360"/>
    <n v="0.59811000000000003"/>
  </r>
  <r>
    <d v="2024-11-04T00:00:00"/>
    <x v="1"/>
    <n v="8380"/>
    <n v="1162"/>
    <n v="596704"/>
    <n v="18.05853488496809"/>
    <n v="40447"/>
    <n v="7218"/>
    <n v="0.40447"/>
  </r>
  <r>
    <d v="2024-11-04T00:00:00"/>
    <x v="2"/>
    <n v="3385"/>
    <n v="329"/>
    <n v="599760"/>
    <n v="17.61788048552755"/>
    <n v="28394"/>
    <n v="3056"/>
    <n v="0.28394000000000003"/>
  </r>
  <r>
    <d v="2024-11-04T00:00:00"/>
    <x v="3"/>
    <n v="5268"/>
    <n v="326"/>
    <n v="604702"/>
    <n v="23.435841125050029"/>
    <n v="44501"/>
    <n v="4942"/>
    <n v="0.44501000000000002"/>
  </r>
  <r>
    <d v="2024-11-04T00:00:00"/>
    <x v="1"/>
    <n v="1671"/>
    <n v="202"/>
    <n v="606171"/>
    <n v="15.150015424690389"/>
    <n v="40254"/>
    <n v="1469"/>
    <n v="0.40254000000000001"/>
  </r>
  <r>
    <d v="2024-11-11T00:00:00"/>
    <x v="1"/>
    <n v="1163"/>
    <n v="146"/>
    <n v="607188"/>
    <n v="21.77776899411715"/>
    <n v="28509"/>
    <n v="1017"/>
    <n v="0.28509000000000001"/>
  </r>
  <r>
    <d v="2024-11-11T00:00:00"/>
    <x v="1"/>
    <n v="9656"/>
    <n v="1024"/>
    <n v="615820"/>
    <n v="8.7252768666168681"/>
    <n v="58998"/>
    <n v="8632"/>
    <n v="0.58997999999999995"/>
  </r>
  <r>
    <d v="2024-11-11T00:00:00"/>
    <x v="3"/>
    <n v="5592"/>
    <n v="710"/>
    <n v="620702"/>
    <n v="9.07118069540617"/>
    <n v="24472"/>
    <n v="4882"/>
    <n v="0.24471999999999999"/>
  </r>
  <r>
    <d v="2024-11-11T00:00:00"/>
    <x v="2"/>
    <n v="5795"/>
    <n v="575"/>
    <n v="625922"/>
    <n v="3.0908004511744269"/>
    <n v="55657"/>
    <n v="5220"/>
    <n v="0.55657000000000001"/>
  </r>
  <r>
    <d v="2024-11-18T00:00:00"/>
    <x v="0"/>
    <n v="5798"/>
    <n v="592"/>
    <n v="631128"/>
    <n v="1.6774727155188811"/>
    <n v="13471"/>
    <n v="5206"/>
    <n v="0.13471"/>
  </r>
  <r>
    <d v="2024-11-18T00:00:00"/>
    <x v="1"/>
    <n v="7036"/>
    <n v="652"/>
    <n v="637512"/>
    <n v="3.5705994553828009"/>
    <n v="51796"/>
    <n v="6384"/>
    <n v="0.51795999999999998"/>
  </r>
  <r>
    <d v="2024-11-18T00:00:00"/>
    <x v="3"/>
    <n v="3355"/>
    <n v="176"/>
    <n v="640691"/>
    <n v="12.426427091999111"/>
    <n v="40268"/>
    <n v="3179"/>
    <n v="0.40267999999999998"/>
  </r>
  <r>
    <d v="2024-11-18T00:00:00"/>
    <x v="3"/>
    <n v="6887"/>
    <n v="418"/>
    <n v="647160"/>
    <n v="20.240280610668151"/>
    <n v="18329"/>
    <n v="6469"/>
    <n v="0.18329000000000001"/>
  </r>
  <r>
    <d v="2024-11-25T00:00:00"/>
    <x v="0"/>
    <n v="8961"/>
    <n v="476"/>
    <n v="655645"/>
    <n v="15.458517947974901"/>
    <n v="44865"/>
    <n v="8485"/>
    <n v="0.44864999999999999"/>
  </r>
  <r>
    <d v="2024-11-25T00:00:00"/>
    <x v="0"/>
    <n v="6827"/>
    <n v="775"/>
    <n v="661697"/>
    <n v="15.96622018839439"/>
    <n v="56850"/>
    <n v="6052"/>
    <n v="0.56850000000000001"/>
  </r>
  <r>
    <d v="2024-11-25T00:00:00"/>
    <x v="3"/>
    <n v="9737"/>
    <n v="792"/>
    <n v="670642"/>
    <n v="5.301785453341723"/>
    <n v="56698"/>
    <n v="8945"/>
    <n v="0.56698000000000004"/>
  </r>
  <r>
    <d v="2024-11-25T00:00:00"/>
    <x v="2"/>
    <n v="5719"/>
    <n v="576"/>
    <n v="675785"/>
    <n v="10.21656296011305"/>
    <n v="38272"/>
    <n v="5143"/>
    <n v="0.38272"/>
  </r>
  <r>
    <d v="2024-12-02T00:00:00"/>
    <x v="0"/>
    <n v="1593"/>
    <n v="224"/>
    <n v="677154"/>
    <n v="4.1495730660972248"/>
    <n v="52845"/>
    <n v="1369"/>
    <n v="0.52844999999999998"/>
  </r>
  <r>
    <d v="2024-12-02T00:00:00"/>
    <x v="3"/>
    <n v="5839"/>
    <n v="437"/>
    <n v="682556"/>
    <n v="17.44750613869045"/>
    <n v="16397"/>
    <n v="5402"/>
    <n v="0.16397"/>
  </r>
  <r>
    <d v="2024-12-02T00:00:00"/>
    <x v="0"/>
    <n v="8394"/>
    <n v="764"/>
    <n v="690186"/>
    <n v="6.3556780346167558"/>
    <n v="42373"/>
    <n v="7630"/>
    <n v="0.42373"/>
  </r>
  <r>
    <d v="2024-12-02T00:00:00"/>
    <x v="2"/>
    <n v="4493"/>
    <n v="564"/>
    <n v="694115"/>
    <n v="16.625487131094989"/>
    <n v="45525"/>
    <n v="3929"/>
    <n v="0.45524999999999999"/>
  </r>
  <r>
    <d v="2024-12-09T00:00:00"/>
    <x v="1"/>
    <n v="7164"/>
    <n v="522"/>
    <n v="700757"/>
    <n v="13.449169969047761"/>
    <n v="34570"/>
    <n v="6642"/>
    <n v="0.34570000000000001"/>
  </r>
  <r>
    <d v="2024-12-09T00:00:00"/>
    <x v="0"/>
    <n v="3672"/>
    <n v="211"/>
    <n v="704218"/>
    <n v="12.35057894004413"/>
    <n v="28284"/>
    <n v="3461"/>
    <n v="0.28283999999999998"/>
  </r>
  <r>
    <d v="2024-12-09T00:00:00"/>
    <x v="2"/>
    <n v="5200"/>
    <n v="410"/>
    <n v="709008"/>
    <n v="12.913394489201821"/>
    <n v="28994"/>
    <n v="4790"/>
    <n v="0.28993999999999998"/>
  </r>
  <r>
    <d v="2024-12-09T00:00:00"/>
    <x v="3"/>
    <n v="1016"/>
    <n v="67"/>
    <n v="709957"/>
    <n v="20.774215903216671"/>
    <n v="33284"/>
    <n v="949"/>
    <n v="0.33284000000000002"/>
  </r>
  <r>
    <d v="2024-12-16T00:00:00"/>
    <x v="0"/>
    <n v="4191"/>
    <n v="599"/>
    <n v="713549"/>
    <n v="11.56416728213479"/>
    <n v="27833"/>
    <n v="3592"/>
    <n v="0.27833000000000002"/>
  </r>
  <r>
    <d v="2024-12-16T00:00:00"/>
    <x v="0"/>
    <n v="1392"/>
    <n v="182"/>
    <n v="714759"/>
    <n v="5.9603306848881932"/>
    <n v="35122"/>
    <n v="1210"/>
    <n v="0.35121999999999998"/>
  </r>
  <r>
    <d v="2024-12-16T00:00:00"/>
    <x v="3"/>
    <n v="9616"/>
    <n v="1089"/>
    <n v="723286"/>
    <n v="19.25863351426683"/>
    <n v="15017"/>
    <n v="8527"/>
    <n v="0.15017"/>
  </r>
  <r>
    <d v="2024-12-16T00:00:00"/>
    <x v="1"/>
    <n v="7272"/>
    <n v="997"/>
    <n v="729561"/>
    <n v="13.428486445958599"/>
    <n v="26370"/>
    <n v="6275"/>
    <n v="0.26369999999999999"/>
  </r>
  <r>
    <d v="2024-12-23T00:00:00"/>
    <x v="3"/>
    <n v="1571"/>
    <n v="204"/>
    <n v="730928"/>
    <n v="19.449384891535139"/>
    <n v="39252"/>
    <n v="1367"/>
    <n v="0.39251999999999998"/>
  </r>
  <r>
    <d v="2024-12-23T00:00:00"/>
    <x v="0"/>
    <n v="4631"/>
    <n v="317"/>
    <n v="735242"/>
    <n v="1.381177897889402"/>
    <n v="17999"/>
    <n v="4314"/>
    <n v="0.17999000000000001"/>
  </r>
  <r>
    <d v="2024-12-23T00:00:00"/>
    <x v="3"/>
    <n v="7172"/>
    <n v="998"/>
    <n v="741416"/>
    <n v="18.0667803230575"/>
    <n v="32436"/>
    <n v="6174"/>
    <n v="0.32435999999999998"/>
  </r>
  <r>
    <d v="2024-12-23T00:00:00"/>
    <x v="2"/>
    <n v="8177"/>
    <n v="849"/>
    <n v="748744"/>
    <n v="10.34986590877523"/>
    <n v="52963"/>
    <n v="7328"/>
    <n v="0.52963000000000005"/>
  </r>
  <r>
    <d v="2024-12-30T00:00:00"/>
    <x v="3"/>
    <n v="9433"/>
    <n v="1233"/>
    <n v="756944"/>
    <n v="11.391727789638329"/>
    <n v="12096"/>
    <n v="8200"/>
    <n v="0.12096"/>
  </r>
  <r>
    <d v="2024-12-30T00:00:00"/>
    <x v="0"/>
    <n v="4897"/>
    <n v="683"/>
    <n v="761158"/>
    <n v="15.06231294947961"/>
    <n v="58201"/>
    <n v="4214"/>
    <n v="0.58201000000000003"/>
  </r>
  <r>
    <d v="2024-12-30T00:00:00"/>
    <x v="3"/>
    <n v="9123"/>
    <n v="746"/>
    <n v="769535"/>
    <n v="6.3086149427901264"/>
    <n v="35279"/>
    <n v="8377"/>
    <n v="0.35278999999999999"/>
  </r>
  <r>
    <d v="2024-12-30T00:00:00"/>
    <x v="1"/>
    <n v="3279"/>
    <n v="200"/>
    <n v="772614"/>
    <n v="5.0212654702089274"/>
    <n v="53363"/>
    <n v="3079"/>
    <n v="0.53363000000000005"/>
  </r>
  <r>
    <d v="2025-01-06T00:00:00"/>
    <x v="3"/>
    <n v="9980"/>
    <n v="726"/>
    <n v="781868"/>
    <n v="4.0220344099003924"/>
    <n v="58709"/>
    <n v="9254"/>
    <n v="0.58709"/>
  </r>
  <r>
    <d v="2025-01-06T00:00:00"/>
    <x v="1"/>
    <n v="8451"/>
    <n v="783"/>
    <n v="789536"/>
    <n v="12.407287318121019"/>
    <n v="36201"/>
    <n v="7668"/>
    <n v="0.36201"/>
  </r>
  <r>
    <d v="2025-01-06T00:00:00"/>
    <x v="2"/>
    <n v="9906"/>
    <n v="1305"/>
    <n v="798137"/>
    <n v="9.1811305577864442"/>
    <n v="29715"/>
    <n v="8601"/>
    <n v="0.29715000000000003"/>
  </r>
  <r>
    <d v="2025-01-06T00:00:00"/>
    <x v="1"/>
    <n v="1775"/>
    <n v="241"/>
    <n v="799671"/>
    <n v="8.1379717408784362"/>
    <n v="39309"/>
    <n v="1534"/>
    <n v="0.39308999999999999"/>
  </r>
  <r>
    <d v="2025-01-13T00:00:00"/>
    <x v="3"/>
    <n v="7869"/>
    <n v="398"/>
    <n v="807142"/>
    <n v="15.211945357818079"/>
    <n v="25078"/>
    <n v="7471"/>
    <n v="0.25078"/>
  </r>
  <r>
    <d v="2025-01-13T00:00:00"/>
    <x v="0"/>
    <n v="3247"/>
    <n v="328"/>
    <n v="810061"/>
    <n v="13.941172331466399"/>
    <n v="15105"/>
    <n v="2919"/>
    <n v="0.15104999999999999"/>
  </r>
  <r>
    <d v="2025-01-13T00:00:00"/>
    <x v="1"/>
    <n v="8088"/>
    <n v="742"/>
    <n v="817407"/>
    <n v="14.664542877660701"/>
    <n v="39312"/>
    <n v="7346"/>
    <n v="0.39312000000000002"/>
  </r>
  <r>
    <d v="2025-01-13T00:00:00"/>
    <x v="2"/>
    <n v="1078"/>
    <n v="77"/>
    <n v="818408"/>
    <n v="18.236747441373989"/>
    <n v="12839"/>
    <n v="1001"/>
    <n v="0.12839"/>
  </r>
  <r>
    <d v="2025-01-20T00:00:00"/>
    <x v="1"/>
    <n v="9080"/>
    <n v="562"/>
    <n v="826926"/>
    <n v="7.1083748727213809"/>
    <n v="13384"/>
    <n v="8518"/>
    <n v="0.13383999999999999"/>
  </r>
  <r>
    <d v="2025-01-20T00:00:00"/>
    <x v="1"/>
    <n v="8099"/>
    <n v="678"/>
    <n v="834347"/>
    <n v="7.6464588474579518"/>
    <n v="53619"/>
    <n v="7421"/>
    <n v="0.53619000000000006"/>
  </r>
  <r>
    <d v="2025-01-20T00:00:00"/>
    <x v="1"/>
    <n v="4926"/>
    <n v="710"/>
    <n v="838563"/>
    <n v="12.96217457722318"/>
    <n v="52821"/>
    <n v="4216"/>
    <n v="0.52820999999999996"/>
  </r>
  <r>
    <d v="2025-01-20T00:00:00"/>
    <x v="2"/>
    <n v="8340"/>
    <n v="686"/>
    <n v="846217"/>
    <n v="7.201344336027284"/>
    <n v="23493"/>
    <n v="7654"/>
    <n v="0.23493"/>
  </r>
  <r>
    <d v="2025-01-27T00:00:00"/>
    <x v="3"/>
    <n v="8083"/>
    <n v="823"/>
    <n v="853477"/>
    <n v="4.6300017457998282"/>
    <n v="27069"/>
    <n v="7260"/>
    <n v="0.27068999999999999"/>
  </r>
  <r>
    <d v="2025-01-27T00:00:00"/>
    <x v="1"/>
    <n v="7230"/>
    <n v="869"/>
    <n v="859838"/>
    <n v="7.0117859410726204"/>
    <n v="56907"/>
    <n v="6361"/>
    <n v="0.56906999999999996"/>
  </r>
  <r>
    <d v="2025-01-27T00:00:00"/>
    <x v="1"/>
    <n v="5940"/>
    <n v="512"/>
    <n v="865266"/>
    <n v="15.7972230504839"/>
    <n v="17531"/>
    <n v="5428"/>
    <n v="0.17530999999999999"/>
  </r>
  <r>
    <d v="2025-01-27T00:00:00"/>
    <x v="0"/>
    <n v="4271"/>
    <n v="628"/>
    <n v="868909"/>
    <n v="11.124410036033691"/>
    <n v="47051"/>
    <n v="3643"/>
    <n v="0.47050999999999998"/>
  </r>
  <r>
    <d v="2025-02-03T00:00:00"/>
    <x v="2"/>
    <n v="4456"/>
    <n v="651"/>
    <n v="872714"/>
    <n v="9.5052903929580594"/>
    <n v="17736"/>
    <n v="3805"/>
    <n v="0.17735999999999999"/>
  </r>
  <r>
    <d v="2025-02-03T00:00:00"/>
    <x v="1"/>
    <n v="8788"/>
    <n v="660"/>
    <n v="880842"/>
    <n v="3.7175793161543158"/>
    <n v="17710"/>
    <n v="8128"/>
    <n v="0.17710000000000001"/>
  </r>
  <r>
    <d v="2025-02-03T00:00:00"/>
    <x v="2"/>
    <n v="9599"/>
    <n v="957"/>
    <n v="889484"/>
    <n v="8.768004820772493"/>
    <n v="11619"/>
    <n v="8642"/>
    <n v="0.11619"/>
  </r>
  <r>
    <d v="2025-02-03T00:00:00"/>
    <x v="1"/>
    <n v="8650"/>
    <n v="692"/>
    <n v="897442"/>
    <n v="7.6673478620345374"/>
    <n v="23975"/>
    <n v="7958"/>
    <n v="0.23974999999999999"/>
  </r>
  <r>
    <d v="2025-02-10T00:00:00"/>
    <x v="3"/>
    <n v="3711"/>
    <n v="291"/>
    <n v="900862"/>
    <n v="14.24879726306582"/>
    <n v="55603"/>
    <n v="3420"/>
    <n v="0.55603000000000002"/>
  </r>
  <r>
    <d v="2025-02-10T00:00:00"/>
    <x v="3"/>
    <n v="2668"/>
    <n v="143"/>
    <n v="903387"/>
    <n v="15.903372530266649"/>
    <n v="33252"/>
    <n v="2525"/>
    <n v="0.33251999999999998"/>
  </r>
  <r>
    <d v="2025-02-10T00:00:00"/>
    <x v="1"/>
    <n v="1147"/>
    <n v="127"/>
    <n v="904407"/>
    <n v="1.3997016829812241"/>
    <n v="25261"/>
    <n v="1020"/>
    <n v="0.25261"/>
  </r>
  <r>
    <d v="2025-02-10T00:00:00"/>
    <x v="3"/>
    <n v="7420"/>
    <n v="743"/>
    <n v="911084"/>
    <n v="10.593534734448189"/>
    <n v="11431"/>
    <n v="6677"/>
    <n v="0.11430999999999999"/>
  </r>
  <r>
    <d v="2025-02-17T00:00:00"/>
    <x v="1"/>
    <n v="1365"/>
    <n v="75"/>
    <n v="912374"/>
    <n v="9.2688963078737441"/>
    <n v="19067"/>
    <n v="1290"/>
    <n v="0.19067000000000001"/>
  </r>
  <r>
    <d v="2025-02-17T00:00:00"/>
    <x v="3"/>
    <n v="5531"/>
    <n v="430"/>
    <n v="917475"/>
    <n v="2.7289026948963189"/>
    <n v="47481"/>
    <n v="5101"/>
    <n v="0.47481000000000001"/>
  </r>
  <r>
    <d v="2025-02-17T00:00:00"/>
    <x v="0"/>
    <n v="6330"/>
    <n v="891"/>
    <n v="922914"/>
    <n v="14.789893749580139"/>
    <n v="37037"/>
    <n v="5439"/>
    <n v="0.37036999999999998"/>
  </r>
  <r>
    <d v="2025-02-17T00:00:00"/>
    <x v="0"/>
    <n v="6510"/>
    <n v="481"/>
    <n v="928943"/>
    <n v="2.3800168578696428"/>
    <n v="19557"/>
    <n v="6029"/>
    <n v="0.19556999999999999"/>
  </r>
  <r>
    <d v="2025-02-24T00:00:00"/>
    <x v="0"/>
    <n v="9754"/>
    <n v="629"/>
    <n v="938068"/>
    <n v="3.4123325814333292"/>
    <n v="19435"/>
    <n v="9125"/>
    <n v="0.19434999999999999"/>
  </r>
  <r>
    <d v="2025-02-24T00:00:00"/>
    <x v="2"/>
    <n v="9964"/>
    <n v="985"/>
    <n v="947047"/>
    <n v="1.9837452629066989"/>
    <n v="47766"/>
    <n v="8979"/>
    <n v="0.47765999999999997"/>
  </r>
  <r>
    <d v="2025-02-24T00:00:00"/>
    <x v="2"/>
    <n v="7493"/>
    <n v="1113"/>
    <n v="953427"/>
    <n v="15.684892498324469"/>
    <n v="10162"/>
    <n v="6380"/>
    <n v="0.10162"/>
  </r>
  <r>
    <d v="2025-02-24T00:00:00"/>
    <x v="0"/>
    <n v="6439"/>
    <n v="477"/>
    <n v="959389"/>
    <n v="7.4744446725989153"/>
    <n v="44742"/>
    <n v="5962"/>
    <n v="0.44741999999999998"/>
  </r>
  <r>
    <d v="2025-03-03T00:00:00"/>
    <x v="2"/>
    <n v="7511"/>
    <n v="880"/>
    <n v="966020"/>
    <n v="4.6083932009689246"/>
    <n v="29675"/>
    <n v="6631"/>
    <n v="0.29675000000000001"/>
  </r>
  <r>
    <d v="2025-03-03T00:00:00"/>
    <x v="3"/>
    <n v="8504"/>
    <n v="1072"/>
    <n v="973452"/>
    <n v="6.5651927367759271"/>
    <n v="18461"/>
    <n v="7432"/>
    <n v="0.18461"/>
  </r>
  <r>
    <d v="2025-03-03T00:00:00"/>
    <x v="1"/>
    <n v="2246"/>
    <n v="165"/>
    <n v="975533"/>
    <n v="2.9062061457685191"/>
    <n v="27015"/>
    <n v="2081"/>
    <n v="0.27015"/>
  </r>
  <r>
    <d v="2025-03-03T00:00:00"/>
    <x v="1"/>
    <n v="4839"/>
    <n v="594"/>
    <n v="979778"/>
    <n v="2.5803804535313102"/>
    <n v="42591"/>
    <n v="4245"/>
    <n v="0.42591000000000001"/>
  </r>
  <r>
    <d v="2025-03-10T00:00:00"/>
    <x v="1"/>
    <n v="9551"/>
    <n v="828"/>
    <n v="988501"/>
    <n v="1.525036393488727"/>
    <n v="38047"/>
    <n v="8723"/>
    <n v="0.38046999999999997"/>
  </r>
  <r>
    <d v="2025-03-10T00:00:00"/>
    <x v="0"/>
    <n v="3376"/>
    <n v="382"/>
    <n v="991495"/>
    <n v="3.8694093263203548"/>
    <n v="44782"/>
    <n v="2994"/>
    <n v="0.44782"/>
  </r>
  <r>
    <d v="2025-03-10T00:00:00"/>
    <x v="2"/>
    <n v="4009"/>
    <n v="454"/>
    <n v="995050"/>
    <n v="2.1106477061454201"/>
    <n v="19833"/>
    <n v="3555"/>
    <n v="0.19833000000000001"/>
  </r>
  <r>
    <d v="2025-03-10T00:00:00"/>
    <x v="3"/>
    <n v="2827"/>
    <n v="292"/>
    <n v="997585"/>
    <n v="2.4004972007397871"/>
    <n v="17896"/>
    <n v="2535"/>
    <n v="0.17896000000000001"/>
  </r>
  <r>
    <d v="2025-03-17T00:00:00"/>
    <x v="3"/>
    <n v="7979"/>
    <n v="470"/>
    <n v="1005094"/>
    <n v="10.43086517280971"/>
    <n v="42972"/>
    <n v="7509"/>
    <n v="0.42971999999999999"/>
  </r>
  <r>
    <d v="2025-03-17T00:00:00"/>
    <x v="0"/>
    <n v="9569"/>
    <n v="1277"/>
    <n v="1013386"/>
    <n v="12.45517502708741"/>
    <n v="59733"/>
    <n v="8292"/>
    <n v="0.59733000000000003"/>
  </r>
  <r>
    <d v="2025-03-17T00:00:00"/>
    <x v="3"/>
    <n v="5285"/>
    <n v="433"/>
    <n v="1018238"/>
    <n v="8.7022876773406619"/>
    <n v="51800"/>
    <n v="4852"/>
    <n v="0.51800000000000002"/>
  </r>
  <r>
    <d v="2025-03-17T00:00:00"/>
    <x v="3"/>
    <n v="7910"/>
    <n v="543"/>
    <n v="1025605"/>
    <n v="6.0590578244060822"/>
    <n v="40508"/>
    <n v="7367"/>
    <n v="0.40508"/>
  </r>
  <r>
    <d v="2025-03-24T00:00:00"/>
    <x v="3"/>
    <n v="9561"/>
    <n v="517"/>
    <n v="1034649"/>
    <n v="6.4086467971263694"/>
    <n v="15347"/>
    <n v="9044"/>
    <n v="0.15347"/>
  </r>
  <r>
    <d v="2025-03-24T00:00:00"/>
    <x v="3"/>
    <n v="3196"/>
    <n v="348"/>
    <n v="1037497"/>
    <n v="14.03040201562029"/>
    <n v="40314"/>
    <n v="2848"/>
    <n v="0.40314"/>
  </r>
  <r>
    <d v="2025-03-24T00:00:00"/>
    <x v="2"/>
    <n v="4747"/>
    <n v="558"/>
    <n v="1041686"/>
    <n v="5.7680529449373434"/>
    <n v="12643"/>
    <n v="4189"/>
    <n v="0.12642999999999999"/>
  </r>
  <r>
    <d v="2025-03-24T00:00:00"/>
    <x v="3"/>
    <n v="9843"/>
    <n v="508"/>
    <n v="1051021"/>
    <n v="4.2080986012648651"/>
    <n v="50785"/>
    <n v="9335"/>
    <n v="0.50785000000000002"/>
  </r>
  <r>
    <d v="2025-03-31T00:00:00"/>
    <x v="1"/>
    <n v="6978"/>
    <n v="706"/>
    <n v="1057293"/>
    <n v="5.057443868445171"/>
    <n v="28681"/>
    <n v="6272"/>
    <n v="0.28681000000000001"/>
  </r>
  <r>
    <d v="2025-03-31T00:00:00"/>
    <x v="0"/>
    <n v="6607"/>
    <n v="479"/>
    <n v="1063421"/>
    <n v="5.5892257158735816"/>
    <n v="48328"/>
    <n v="6128"/>
    <n v="0.48327999999999999"/>
  </r>
  <r>
    <d v="2025-03-31T00:00:00"/>
    <x v="2"/>
    <n v="1769"/>
    <n v="202"/>
    <n v="1064988"/>
    <n v="6.5457075572682513"/>
    <n v="25892"/>
    <n v="1567"/>
    <n v="0.25891999999999998"/>
  </r>
  <r>
    <d v="2025-03-31T00:00:00"/>
    <x v="3"/>
    <n v="1780"/>
    <n v="120"/>
    <n v="1066648"/>
    <n v="13.86474263299608"/>
    <n v="57299"/>
    <n v="1660"/>
    <n v="0.57299"/>
  </r>
  <r>
    <d v="2025-04-07T00:00:00"/>
    <x v="2"/>
    <n v="7303"/>
    <n v="869"/>
    <n v="1073082"/>
    <n v="8.1237966902808925"/>
    <n v="27073"/>
    <n v="6434"/>
    <n v="0.27073000000000003"/>
  </r>
  <r>
    <d v="2025-04-07T00:00:00"/>
    <x v="3"/>
    <n v="4983"/>
    <n v="441"/>
    <n v="1077624"/>
    <n v="6.8954477628560609"/>
    <n v="46768"/>
    <n v="4542"/>
    <n v="0.46767999999999998"/>
  </r>
  <r>
    <d v="2025-04-07T00:00:00"/>
    <x v="1"/>
    <n v="9714"/>
    <n v="1395"/>
    <n v="1085943"/>
    <n v="5.2243073531483697"/>
    <n v="40682"/>
    <n v="8319"/>
    <n v="0.40682000000000001"/>
  </r>
  <r>
    <d v="2025-04-07T00:00:00"/>
    <x v="0"/>
    <n v="1521"/>
    <n v="96"/>
    <n v="1087368"/>
    <n v="12.709772588488899"/>
    <n v="42262"/>
    <n v="1425"/>
    <n v="0.42262"/>
  </r>
  <r>
    <d v="2025-04-14T00:00:00"/>
    <x v="3"/>
    <n v="8569"/>
    <n v="720"/>
    <n v="1095217"/>
    <n v="9.589697749395782"/>
    <n v="41358"/>
    <n v="7849"/>
    <n v="0.41358"/>
  </r>
  <r>
    <d v="2025-04-14T00:00:00"/>
    <x v="3"/>
    <n v="6784"/>
    <n v="416"/>
    <n v="1101585"/>
    <n v="9.3041390360253633"/>
    <n v="24289"/>
    <n v="6368"/>
    <n v="0.24288999999999999"/>
  </r>
  <r>
    <d v="2025-04-14T00:00:00"/>
    <x v="3"/>
    <n v="5583"/>
    <n v="795"/>
    <n v="1106373"/>
    <n v="12.21550055903389"/>
    <n v="59823"/>
    <n v="4788"/>
    <n v="0.59823000000000004"/>
  </r>
  <r>
    <d v="2025-04-14T00:00:00"/>
    <x v="3"/>
    <n v="6946"/>
    <n v="956"/>
    <n v="1112363"/>
    <n v="1.64146056637986"/>
    <n v="17927"/>
    <n v="5990"/>
    <n v="0.17927000000000001"/>
  </r>
  <r>
    <d v="2025-04-21T00:00:00"/>
    <x v="0"/>
    <n v="5941"/>
    <n v="450"/>
    <n v="1117854"/>
    <n v="12.414411899944"/>
    <n v="58330"/>
    <n v="5491"/>
    <n v="0.58330000000000004"/>
  </r>
  <r>
    <d v="2025-04-21T00:00:00"/>
    <x v="0"/>
    <n v="7267"/>
    <n v="842"/>
    <n v="1124279"/>
    <n v="2.2102165031989389"/>
    <n v="11171"/>
    <n v="6425"/>
    <n v="0.11171"/>
  </r>
  <r>
    <d v="2025-04-21T00:00:00"/>
    <x v="1"/>
    <n v="8128"/>
    <n v="1070"/>
    <n v="1131337"/>
    <n v="8.1114645768679008"/>
    <n v="21918"/>
    <n v="7058"/>
    <n v="0.21918000000000001"/>
  </r>
  <r>
    <d v="2025-04-21T00:00:00"/>
    <x v="0"/>
    <n v="3461"/>
    <n v="365"/>
    <n v="1134433"/>
    <n v="10.23489267325616"/>
    <n v="51903"/>
    <n v="3096"/>
    <n v="0.51902999999999999"/>
  </r>
  <r>
    <d v="2025-04-28T00:00:00"/>
    <x v="3"/>
    <n v="1685"/>
    <n v="173"/>
    <n v="1135945"/>
    <n v="8.7776256772995165"/>
    <n v="49110"/>
    <n v="1512"/>
    <n v="0.49109999999999998"/>
  </r>
  <r>
    <d v="2025-04-28T00:00:00"/>
    <x v="1"/>
    <n v="3160"/>
    <n v="234"/>
    <n v="1138871"/>
    <n v="5.6959041015180816"/>
    <n v="21929"/>
    <n v="2926"/>
    <n v="0.21929000000000001"/>
  </r>
  <r>
    <d v="2025-04-28T00:00:00"/>
    <x v="1"/>
    <n v="8031"/>
    <n v="476"/>
    <n v="1146426"/>
    <n v="11.940413075069831"/>
    <n v="12539"/>
    <n v="7555"/>
    <n v="0.12539"/>
  </r>
  <r>
    <d v="2025-04-28T00:00:00"/>
    <x v="1"/>
    <n v="6341"/>
    <n v="885"/>
    <n v="1151882"/>
    <n v="6.3457020771224837"/>
    <n v="46727"/>
    <n v="5456"/>
    <n v="0.46727000000000002"/>
  </r>
  <r>
    <d v="2025-05-05T00:00:00"/>
    <x v="3"/>
    <n v="1038"/>
    <n v="145"/>
    <n v="1152775"/>
    <n v="11.093752033137431"/>
    <n v="55951"/>
    <n v="893"/>
    <n v="0.55950999999999995"/>
  </r>
  <r>
    <d v="2025-05-05T00:00:00"/>
    <x v="2"/>
    <n v="5875"/>
    <n v="665"/>
    <n v="1157985"/>
    <n v="6.9871371390821126"/>
    <n v="32669"/>
    <n v="5210"/>
    <n v="0.32668999999999998"/>
  </r>
  <r>
    <d v="2025-05-05T00:00:00"/>
    <x v="3"/>
    <n v="2256"/>
    <n v="189"/>
    <n v="1160052"/>
    <n v="2.8935771844710412"/>
    <n v="15432"/>
    <n v="2067"/>
    <n v="0.15432000000000001"/>
  </r>
  <r>
    <d v="2025-05-05T00:00:00"/>
    <x v="0"/>
    <n v="8697"/>
    <n v="738"/>
    <n v="1168011"/>
    <n v="3.8777032065622672"/>
    <n v="30644"/>
    <n v="7959"/>
    <n v="0.30643999999999999"/>
  </r>
  <r>
    <d v="2025-05-12T00:00:00"/>
    <x v="0"/>
    <n v="3196"/>
    <n v="391"/>
    <n v="1170816"/>
    <n v="7.2439221876024931"/>
    <n v="28745"/>
    <n v="2805"/>
    <n v="0.28744999999999998"/>
  </r>
  <r>
    <d v="2025-05-12T00:00:00"/>
    <x v="3"/>
    <n v="8165"/>
    <n v="1140"/>
    <n v="1177841"/>
    <n v="9.095964565675672"/>
    <n v="38228"/>
    <n v="7025"/>
    <n v="0.38228000000000001"/>
  </r>
  <r>
    <d v="2025-05-12T00:00:00"/>
    <x v="3"/>
    <n v="1301"/>
    <n v="180"/>
    <n v="1178962"/>
    <n v="5.2275645864752214"/>
    <n v="44521"/>
    <n v="1121"/>
    <n v="0.44520999999999999"/>
  </r>
  <r>
    <d v="2025-05-12T00:00:00"/>
    <x v="1"/>
    <n v="8527"/>
    <n v="1091"/>
    <n v="1186398"/>
    <n v="1.676081719625286"/>
    <n v="41703"/>
    <n v="7436"/>
    <n v="0.41703000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x v="0"/>
    <d v="2024-12-23T00:00:00"/>
    <x v="0"/>
    <x v="0"/>
    <n v="24516"/>
    <n v="976"/>
    <n v="974"/>
    <n v="2675"/>
    <n v="23275"/>
    <n v="202932"/>
    <x v="0"/>
    <n v="0.13041807107799658"/>
  </r>
  <r>
    <s v="A2"/>
    <x v="1"/>
    <d v="2025-09-03T00:00:00"/>
    <x v="0"/>
    <x v="1"/>
    <n v="4779"/>
    <n v="1110"/>
    <n v="436"/>
    <n v="1574"/>
    <n v="77167"/>
    <n v="71585"/>
    <x v="1"/>
    <n v="8.8356499266606131E-2"/>
  </r>
  <r>
    <s v="A3"/>
    <x v="2"/>
    <d v="2025-05-12T00:00:00"/>
    <x v="1"/>
    <x v="2"/>
    <n v="19308"/>
    <n v="1318"/>
    <n v="795"/>
    <n v="1499"/>
    <n v="52307"/>
    <n v="193087"/>
    <x v="2"/>
    <n v="0.11093962825047776"/>
  </r>
  <r>
    <s v="A4"/>
    <x v="0"/>
    <d v="2024-08-12T00:00:00"/>
    <x v="2"/>
    <x v="3"/>
    <n v="3581"/>
    <n v="517"/>
    <n v="880"/>
    <n v="1925"/>
    <n v="18636"/>
    <n v="248611"/>
    <x v="3"/>
    <n v="2.0023249172401864E-2"/>
  </r>
  <r>
    <s v="A5"/>
    <x v="0"/>
    <d v="2025-09-04T00:00:00"/>
    <x v="2"/>
    <x v="0"/>
    <n v="21708"/>
    <n v="435"/>
    <n v="317"/>
    <n v="1213"/>
    <n v="70701"/>
    <n v="83585"/>
    <x v="1"/>
    <n v="0.26870850032900639"/>
  </r>
  <r>
    <s v="A6"/>
    <x v="1"/>
    <d v="2025-09-05T00:00:00"/>
    <x v="0"/>
    <x v="4"/>
    <n v="14677"/>
    <n v="533"/>
    <n v="759"/>
    <n v="753"/>
    <n v="23275"/>
    <n v="66958"/>
    <x v="1"/>
    <n v="0.23849278652289496"/>
  </r>
  <r>
    <s v="A7"/>
    <x v="2"/>
    <d v="2024-06-24T00:00:00"/>
    <x v="3"/>
    <x v="5"/>
    <n v="7713"/>
    <n v="575"/>
    <n v="417"/>
    <n v="336"/>
    <n v="61660"/>
    <n v="66017"/>
    <x v="3"/>
    <n v="0.13185997546086614"/>
  </r>
  <r>
    <s v="A8"/>
    <x v="2"/>
    <d v="2024-07-13T00:00:00"/>
    <x v="2"/>
    <x v="6"/>
    <n v="18639"/>
    <n v="1360"/>
    <n v="898"/>
    <n v="2011"/>
    <n v="42841"/>
    <n v="247779"/>
    <x v="3"/>
    <n v="8.4337252148083575E-2"/>
  </r>
  <r>
    <s v="A9"/>
    <x v="0"/>
    <d v="2024-08-30T00:00:00"/>
    <x v="3"/>
    <x v="1"/>
    <n v="6804"/>
    <n v="787"/>
    <n v="970"/>
    <n v="1095"/>
    <n v="56343"/>
    <n v="164677"/>
    <x v="0"/>
    <n v="5.1986616224487935E-2"/>
  </r>
  <r>
    <s v="A10"/>
    <x v="3"/>
    <d v="2025-03-11T00:00:00"/>
    <x v="2"/>
    <x v="7"/>
    <n v="20222"/>
    <n v="712"/>
    <n v="604"/>
    <n v="1272"/>
    <n v="71598"/>
    <n v="216422"/>
    <x v="2"/>
    <n v="9.9518533235992648E-2"/>
  </r>
  <r>
    <s v="A11"/>
    <x v="0"/>
    <d v="2025-02-02T00:00:00"/>
    <x v="3"/>
    <x v="3"/>
    <n v="12136"/>
    <n v="1117"/>
    <n v="834"/>
    <n v="892"/>
    <n v="24675"/>
    <n v="183273"/>
    <x v="2"/>
    <n v="7.6863476889667326E-2"/>
  </r>
  <r>
    <s v="A12"/>
    <x v="0"/>
    <d v="2024-07-21T00:00:00"/>
    <x v="1"/>
    <x v="1"/>
    <n v="2009"/>
    <n v="1072"/>
    <n v="550"/>
    <n v="1437"/>
    <n v="22982"/>
    <n v="69426"/>
    <x v="3"/>
    <n v="5.2300290957278256E-2"/>
  </r>
  <r>
    <s v="A13"/>
    <x v="0"/>
    <d v="2024-11-18T00:00:00"/>
    <x v="3"/>
    <x v="5"/>
    <n v="21255"/>
    <n v="1452"/>
    <n v="625"/>
    <n v="1624"/>
    <n v="21282"/>
    <n v="57778"/>
    <x v="4"/>
    <n v="0.40382152376337016"/>
  </r>
  <r>
    <s v="A14"/>
    <x v="0"/>
    <d v="2025-09-06T00:00:00"/>
    <x v="1"/>
    <x v="6"/>
    <n v="7124"/>
    <n v="469"/>
    <n v="851"/>
    <n v="2571"/>
    <n v="33802"/>
    <n v="216313"/>
    <x v="1"/>
    <n v="3.9036026498638549E-2"/>
  </r>
  <r>
    <s v="A15"/>
    <x v="1"/>
    <d v="2025-09-07T00:00:00"/>
    <x v="1"/>
    <x v="2"/>
    <n v="3015"/>
    <n v="997"/>
    <n v="783"/>
    <n v="617"/>
    <n v="77167"/>
    <n v="82229"/>
    <x v="1"/>
    <n v="5.8312760704860814E-2"/>
  </r>
  <r>
    <s v="A16"/>
    <x v="2"/>
    <d v="2024-08-26T00:00:00"/>
    <x v="3"/>
    <x v="6"/>
    <n v="4193"/>
    <n v="924"/>
    <n v="707"/>
    <n v="2696"/>
    <n v="55075"/>
    <n v="126652"/>
    <x v="3"/>
    <n v="4.5984271863057827E-2"/>
  </r>
  <r>
    <s v="A17"/>
    <x v="1"/>
    <d v="2025-05-05T00:00:00"/>
    <x v="1"/>
    <x v="8"/>
    <n v="10415"/>
    <n v="1388"/>
    <n v="725"/>
    <n v="2462"/>
    <n v="53082"/>
    <n v="168267"/>
    <x v="4"/>
    <n v="7.4453101321114656E-2"/>
  </r>
  <r>
    <s v="A18"/>
    <x v="1"/>
    <d v="2024-08-19T00:00:00"/>
    <x v="0"/>
    <x v="6"/>
    <n v="15550"/>
    <n v="204"/>
    <n v="279"/>
    <n v="1646"/>
    <n v="35819"/>
    <n v="219436"/>
    <x v="0"/>
    <n v="7.306458375107093E-2"/>
  </r>
  <r>
    <s v="A19"/>
    <x v="1"/>
    <d v="2024-06-23T00:00:00"/>
    <x v="1"/>
    <x v="8"/>
    <n v="16512"/>
    <n v="1050"/>
    <n v="971"/>
    <n v="1891"/>
    <n v="15865"/>
    <n v="166503"/>
    <x v="3"/>
    <n v="0.1113073037723044"/>
  </r>
  <r>
    <s v="A20"/>
    <x v="0"/>
    <d v="2024-09-09T00:00:00"/>
    <x v="2"/>
    <x v="2"/>
    <n v="6158"/>
    <n v="277"/>
    <n v="512"/>
    <n v="2189"/>
    <n v="76881"/>
    <n v="124878"/>
    <x v="3"/>
    <n v="5.563029516808405E-2"/>
  </r>
  <r>
    <s v="A21"/>
    <x v="3"/>
    <d v="2025-09-08T00:00:00"/>
    <x v="3"/>
    <x v="9"/>
    <n v="22309"/>
    <n v="773"/>
    <n v="854"/>
    <n v="2387"/>
    <n v="72396"/>
    <n v="97056"/>
    <x v="1"/>
    <n v="0.24662050774810418"/>
  </r>
  <r>
    <s v="A22"/>
    <x v="2"/>
    <d v="2025-02-27T00:00:00"/>
    <x v="0"/>
    <x v="5"/>
    <n v="8970"/>
    <n v="331"/>
    <n v="968"/>
    <n v="2296"/>
    <n v="24613"/>
    <n v="198562"/>
    <x v="3"/>
    <n v="5.1716844109144754E-2"/>
  </r>
  <r>
    <s v="A23"/>
    <x v="3"/>
    <d v="2024-11-06T00:00:00"/>
    <x v="3"/>
    <x v="8"/>
    <n v="8938"/>
    <n v="800"/>
    <n v="842"/>
    <n v="2072"/>
    <n v="31736"/>
    <n v="59975"/>
    <x v="3"/>
    <n v="0.17640683618174238"/>
  </r>
  <r>
    <s v="A24"/>
    <x v="1"/>
    <d v="2025-01-23T00:00:00"/>
    <x v="2"/>
    <x v="7"/>
    <n v="23168"/>
    <n v="1265"/>
    <n v="441"/>
    <n v="1612"/>
    <n v="66615"/>
    <n v="197795"/>
    <x v="3"/>
    <n v="0.12575646502692181"/>
  </r>
  <r>
    <s v="A25"/>
    <x v="1"/>
    <d v="2025-09-09T00:00:00"/>
    <x v="2"/>
    <x v="6"/>
    <n v="15772"/>
    <n v="288"/>
    <n v="520"/>
    <n v="1585"/>
    <n v="59182"/>
    <n v="194351"/>
    <x v="1"/>
    <n v="8.5309568769905988E-2"/>
  </r>
  <r>
    <s v="A26"/>
    <x v="3"/>
    <d v="2025-04-05T00:00:00"/>
    <x v="2"/>
    <x v="6"/>
    <n v="22384"/>
    <n v="601"/>
    <n v="943"/>
    <n v="515"/>
    <n v="41309"/>
    <n v="249373"/>
    <x v="0"/>
    <n v="9.5952649244304716E-2"/>
  </r>
  <r>
    <s v="A27"/>
    <x v="3"/>
    <d v="2024-09-17T00:00:00"/>
    <x v="1"/>
    <x v="7"/>
    <n v="20017"/>
    <n v="495"/>
    <n v="178"/>
    <n v="2683"/>
    <n v="32244"/>
    <n v="182633"/>
    <x v="0"/>
    <n v="0.11328730295182141"/>
  </r>
  <r>
    <s v="A28"/>
    <x v="3"/>
    <d v="2025-03-04T00:00:00"/>
    <x v="1"/>
    <x v="4"/>
    <n v="12344"/>
    <n v="815"/>
    <n v="298"/>
    <n v="2439"/>
    <n v="6259"/>
    <n v="237133"/>
    <x v="3"/>
    <n v="5.6748744375519224E-2"/>
  </r>
  <r>
    <s v="A29"/>
    <x v="1"/>
    <d v="2025-09-10T00:00:00"/>
    <x v="3"/>
    <x v="10"/>
    <n v="9266"/>
    <n v="999"/>
    <n v="928"/>
    <n v="2700"/>
    <n v="12264"/>
    <n v="128397"/>
    <x v="1"/>
    <n v="8.7174933993784898E-2"/>
  </r>
  <r>
    <s v="A30"/>
    <x v="1"/>
    <d v="2025-02-25T00:00:00"/>
    <x v="3"/>
    <x v="9"/>
    <n v="10702"/>
    <n v="621"/>
    <n v="445"/>
    <n v="2918"/>
    <n v="54808"/>
    <n v="220225"/>
    <x v="0"/>
    <n v="5.3436258372119426E-2"/>
  </r>
  <r>
    <s v="A31"/>
    <x v="2"/>
    <d v="2024-12-16T00:00:00"/>
    <x v="0"/>
    <x v="3"/>
    <n v="2384"/>
    <n v="1246"/>
    <n v="160"/>
    <n v="2004"/>
    <n v="2701"/>
    <n v="73142"/>
    <x v="0"/>
    <n v="5.1817013480626728E-2"/>
  </r>
  <r>
    <s v="A32"/>
    <x v="2"/>
    <d v="2024-07-31T00:00:00"/>
    <x v="0"/>
    <x v="8"/>
    <n v="2404"/>
    <n v="774"/>
    <n v="661"/>
    <n v="662"/>
    <n v="12676"/>
    <n v="66916"/>
    <x v="0"/>
    <n v="5.7370434574690654E-2"/>
  </r>
  <r>
    <s v="A33"/>
    <x v="1"/>
    <d v="2025-09-11T00:00:00"/>
    <x v="3"/>
    <x v="7"/>
    <n v="10175"/>
    <n v="342"/>
    <n v="825"/>
    <n v="2904"/>
    <n v="15954"/>
    <n v="104324"/>
    <x v="1"/>
    <n v="0.10871899083624094"/>
  </r>
  <r>
    <s v="A34"/>
    <x v="3"/>
    <d v="2025-09-12T00:00:00"/>
    <x v="1"/>
    <x v="2"/>
    <n v="17158"/>
    <n v="1192"/>
    <n v="262"/>
    <n v="2016"/>
    <n v="28771"/>
    <n v="216037"/>
    <x v="1"/>
    <n v="8.6151909163708074E-2"/>
  </r>
  <r>
    <s v="A35"/>
    <x v="3"/>
    <d v="2024-11-30T00:00:00"/>
    <x v="2"/>
    <x v="8"/>
    <n v="14763"/>
    <n v="864"/>
    <n v="336"/>
    <n v="1493"/>
    <n v="33310"/>
    <n v="165932"/>
    <x v="3"/>
    <n v="9.6202058674637797E-2"/>
  </r>
  <r>
    <s v="A36"/>
    <x v="2"/>
    <d v="2025-04-19T00:00:00"/>
    <x v="3"/>
    <x v="10"/>
    <n v="20384"/>
    <n v="344"/>
    <n v="956"/>
    <n v="655"/>
    <n v="67621"/>
    <n v="175720"/>
    <x v="2"/>
    <n v="0.12340086501251991"/>
  </r>
  <r>
    <s v="A37"/>
    <x v="1"/>
    <d v="2025-01-06T00:00:00"/>
    <x v="0"/>
    <x v="2"/>
    <n v="11860"/>
    <n v="1448"/>
    <n v="893"/>
    <n v="490"/>
    <n v="23518"/>
    <n v="206205"/>
    <x v="0"/>
    <n v="6.8868359157149436E-2"/>
  </r>
  <r>
    <s v="A38"/>
    <x v="2"/>
    <d v="2025-02-17T00:00:00"/>
    <x v="1"/>
    <x v="1"/>
    <n v="7989"/>
    <n v="1206"/>
    <n v="376"/>
    <n v="2769"/>
    <n v="27550"/>
    <n v="221749"/>
    <x v="2"/>
    <n v="4.3161412227338117E-2"/>
  </r>
  <r>
    <s v="A39"/>
    <x v="2"/>
    <d v="2025-09-13T00:00:00"/>
    <x v="3"/>
    <x v="5"/>
    <n v="17106"/>
    <n v="702"/>
    <n v="459"/>
    <n v="999"/>
    <n v="59627"/>
    <n v="136059"/>
    <x v="1"/>
    <n v="0.13425793222058077"/>
  </r>
  <r>
    <s v="A40"/>
    <x v="0"/>
    <d v="2025-09-14T00:00:00"/>
    <x v="3"/>
    <x v="6"/>
    <n v="19844"/>
    <n v="1020"/>
    <n v="247"/>
    <n v="2354"/>
    <n v="37792"/>
    <n v="138317"/>
    <x v="1"/>
    <n v="0.15262765965138053"/>
  </r>
  <r>
    <s v="A41"/>
    <x v="0"/>
    <d v="2025-09-15T00:00:00"/>
    <x v="1"/>
    <x v="1"/>
    <n v="5636"/>
    <n v="303"/>
    <n v="204"/>
    <n v="2480"/>
    <n v="7377"/>
    <n v="241207"/>
    <x v="1"/>
    <n v="2.5467751765081443E-2"/>
  </r>
  <r>
    <s v="A42"/>
    <x v="0"/>
    <d v="2025-03-05T00:00:00"/>
    <x v="3"/>
    <x v="8"/>
    <n v="12916"/>
    <n v="1262"/>
    <n v="772"/>
    <n v="856"/>
    <n v="11496"/>
    <n v="75046"/>
    <x v="2"/>
    <n v="0.19921115049436347"/>
  </r>
  <r>
    <s v="A43"/>
    <x v="3"/>
    <d v="2025-09-16T00:00:00"/>
    <x v="1"/>
    <x v="10"/>
    <n v="6809"/>
    <n v="397"/>
    <n v="813"/>
    <n v="1125"/>
    <n v="12206"/>
    <n v="218136"/>
    <x v="1"/>
    <n v="3.6761469908680823E-2"/>
  </r>
  <r>
    <s v="A44"/>
    <x v="1"/>
    <d v="2025-03-02T00:00:00"/>
    <x v="2"/>
    <x v="9"/>
    <n v="22562"/>
    <n v="778"/>
    <n v="907"/>
    <n v="1354"/>
    <n v="34475"/>
    <n v="141459"/>
    <x v="3"/>
    <n v="0.17140655596321194"/>
  </r>
  <r>
    <s v="A45"/>
    <x v="1"/>
    <d v="2025-09-17T00:00:00"/>
    <x v="1"/>
    <x v="5"/>
    <n v="15456"/>
    <n v="590"/>
    <n v="555"/>
    <n v="2882"/>
    <n v="49816"/>
    <n v="240422"/>
    <x v="1"/>
    <n v="6.9049421433978589E-2"/>
  </r>
  <r>
    <s v="A46"/>
    <x v="1"/>
    <d v="2025-05-02T00:00:00"/>
    <x v="1"/>
    <x v="8"/>
    <n v="17444"/>
    <n v="1402"/>
    <n v="218"/>
    <n v="725"/>
    <n v="8710"/>
    <n v="85893"/>
    <x v="4"/>
    <n v="0.22195056640238436"/>
  </r>
  <r>
    <s v="A47"/>
    <x v="1"/>
    <d v="2025-02-24T00:00:00"/>
    <x v="1"/>
    <x v="7"/>
    <n v="24984"/>
    <n v="753"/>
    <n v="461"/>
    <n v="2710"/>
    <n v="20792"/>
    <n v="141520"/>
    <x v="2"/>
    <n v="0.18511871113623515"/>
  </r>
  <r>
    <s v="A48"/>
    <x v="0"/>
    <d v="2025-03-11T00:00:00"/>
    <x v="3"/>
    <x v="0"/>
    <n v="7997"/>
    <n v="1238"/>
    <n v="438"/>
    <n v="1874"/>
    <n v="36272"/>
    <n v="165818"/>
    <x v="4"/>
    <n v="5.8335042034037318E-2"/>
  </r>
  <r>
    <s v="A49"/>
    <x v="3"/>
    <d v="2025-09-18T00:00:00"/>
    <x v="3"/>
    <x v="8"/>
    <n v="4048"/>
    <n v="677"/>
    <n v="911"/>
    <n v="2429"/>
    <n v="27361"/>
    <n v="101272"/>
    <x v="1"/>
    <n v="5.5652105221581483E-2"/>
  </r>
  <r>
    <s v="A50"/>
    <x v="3"/>
    <d v="2024-07-03T00:00:00"/>
    <x v="1"/>
    <x v="5"/>
    <n v="14338"/>
    <n v="1454"/>
    <n v="697"/>
    <n v="2703"/>
    <n v="21288"/>
    <n v="107649"/>
    <x v="3"/>
    <n v="0.1531737405828201"/>
  </r>
  <r>
    <s v="A51"/>
    <x v="0"/>
    <d v="2024-06-13T00:00:00"/>
    <x v="3"/>
    <x v="6"/>
    <n v="23164"/>
    <n v="1122"/>
    <n v="900"/>
    <n v="888"/>
    <n v="36938"/>
    <n v="104674"/>
    <x v="0"/>
    <n v="0.24061371496264594"/>
  </r>
  <r>
    <s v="A52"/>
    <x v="3"/>
    <d v="2025-09-19T00:00:00"/>
    <x v="0"/>
    <x v="6"/>
    <n v="19100"/>
    <n v="619"/>
    <n v="297"/>
    <n v="2312"/>
    <n v="9730"/>
    <n v="184832"/>
    <x v="1"/>
    <n v="0.10829293628808864"/>
  </r>
  <r>
    <s v="A53"/>
    <x v="0"/>
    <d v="2025-02-24T00:00:00"/>
    <x v="0"/>
    <x v="8"/>
    <n v="23949"/>
    <n v="356"/>
    <n v="616"/>
    <n v="1847"/>
    <n v="3144"/>
    <n v="192999"/>
    <x v="3"/>
    <n v="0.12912502137316773"/>
  </r>
  <r>
    <s v="A54"/>
    <x v="1"/>
    <d v="2025-03-13T00:00:00"/>
    <x v="3"/>
    <x v="2"/>
    <n v="6544"/>
    <n v="749"/>
    <n v="888"/>
    <n v="594"/>
    <n v="18171"/>
    <n v="126475"/>
    <x v="2"/>
    <n v="6.4684720300454635E-2"/>
  </r>
  <r>
    <s v="A55"/>
    <x v="0"/>
    <d v="2024-06-17T00:00:00"/>
    <x v="3"/>
    <x v="0"/>
    <n v="6976"/>
    <n v="1320"/>
    <n v="393"/>
    <n v="2285"/>
    <n v="14049"/>
    <n v="101367"/>
    <x v="4"/>
    <n v="8.5718231771681114E-2"/>
  </r>
  <r>
    <s v="A56"/>
    <x v="1"/>
    <d v="2024-12-18T00:00:00"/>
    <x v="1"/>
    <x v="7"/>
    <n v="14775"/>
    <n v="1220"/>
    <n v="640"/>
    <n v="1547"/>
    <n v="28527"/>
    <n v="183660"/>
    <x v="4"/>
    <n v="9.0574975498203203E-2"/>
  </r>
  <r>
    <s v="A57"/>
    <x v="1"/>
    <d v="2024-10-21T00:00:00"/>
    <x v="2"/>
    <x v="8"/>
    <n v="12015"/>
    <n v="1196"/>
    <n v="998"/>
    <n v="1848"/>
    <n v="44739"/>
    <n v="161750"/>
    <x v="4"/>
    <n v="8.7845440494590421E-2"/>
  </r>
  <r>
    <s v="A58"/>
    <x v="2"/>
    <d v="2025-04-15T00:00:00"/>
    <x v="3"/>
    <x v="2"/>
    <n v="5419"/>
    <n v="1150"/>
    <n v="656"/>
    <n v="1990"/>
    <n v="410"/>
    <n v="158154"/>
    <x v="2"/>
    <n v="4.5683321319726342E-2"/>
  </r>
  <r>
    <s v="A59"/>
    <x v="0"/>
    <d v="2024-06-22T00:00:00"/>
    <x v="0"/>
    <x v="6"/>
    <n v="16430"/>
    <n v="488"/>
    <n v="514"/>
    <n v="1436"/>
    <n v="30059"/>
    <n v="223305"/>
    <x v="3"/>
    <n v="7.8063634938760881E-2"/>
  </r>
  <r>
    <s v="A60"/>
    <x v="2"/>
    <d v="2025-01-28T00:00:00"/>
    <x v="1"/>
    <x v="6"/>
    <n v="9239"/>
    <n v="1477"/>
    <n v="631"/>
    <n v="1556"/>
    <n v="11580"/>
    <n v="84738"/>
    <x v="2"/>
    <n v="0.13390686586891359"/>
  </r>
  <r>
    <s v="A61"/>
    <x v="0"/>
    <d v="2024-09-05T00:00:00"/>
    <x v="3"/>
    <x v="10"/>
    <n v="16489"/>
    <n v="395"/>
    <n v="350"/>
    <n v="2364"/>
    <n v="43239"/>
    <n v="73397"/>
    <x v="4"/>
    <n v="0.23480523727127811"/>
  </r>
  <r>
    <s v="A62"/>
    <x v="0"/>
    <d v="2025-09-20T00:00:00"/>
    <x v="0"/>
    <x v="8"/>
    <n v="18633"/>
    <n v="797"/>
    <n v="303"/>
    <n v="659"/>
    <n v="7"/>
    <n v="122189"/>
    <x v="1"/>
    <n v="0.16149571565361859"/>
  </r>
  <r>
    <s v="A63"/>
    <x v="2"/>
    <d v="2024-07-31T00:00:00"/>
    <x v="0"/>
    <x v="0"/>
    <n v="12357"/>
    <n v="716"/>
    <n v="599"/>
    <n v="999"/>
    <n v="89591"/>
    <n v="116367"/>
    <x v="0"/>
    <n v="0.11749035379446063"/>
  </r>
  <r>
    <s v="A64"/>
    <x v="2"/>
    <d v="2024-08-17T00:00:00"/>
    <x v="2"/>
    <x v="4"/>
    <n v="19154"/>
    <n v="1064"/>
    <n v="650"/>
    <n v="747"/>
    <n v="42667"/>
    <n v="242332"/>
    <x v="2"/>
    <n v="8.6113266097750191E-2"/>
  </r>
  <r>
    <s v="A65"/>
    <x v="0"/>
    <d v="2025-03-28T00:00:00"/>
    <x v="1"/>
    <x v="0"/>
    <n v="6363"/>
    <n v="1341"/>
    <n v="222"/>
    <n v="2712"/>
    <n v="19987"/>
    <n v="160585"/>
    <x v="2"/>
    <n v="4.9357038328611019E-2"/>
  </r>
  <r>
    <s v="A66"/>
    <x v="3"/>
    <d v="2024-07-26T00:00:00"/>
    <x v="1"/>
    <x v="6"/>
    <n v="12176"/>
    <n v="1005"/>
    <n v="862"/>
    <n v="974"/>
    <n v="2285"/>
    <n v="116619"/>
    <x v="3"/>
    <n v="0.12041777068916729"/>
  </r>
  <r>
    <s v="A67"/>
    <x v="1"/>
    <d v="2025-03-29T00:00:00"/>
    <x v="2"/>
    <x v="6"/>
    <n v="19461"/>
    <n v="1382"/>
    <n v="445"/>
    <n v="1307"/>
    <n v="84691"/>
    <n v="151453"/>
    <x v="3"/>
    <n v="0.14055845707909384"/>
  </r>
  <r>
    <s v="A68"/>
    <x v="2"/>
    <d v="2024-12-08T00:00:00"/>
    <x v="2"/>
    <x v="1"/>
    <n v="10427"/>
    <n v="1014"/>
    <n v="166"/>
    <n v="1649"/>
    <n v="15145"/>
    <n v="59816"/>
    <x v="2"/>
    <n v="0.19404507155276179"/>
  </r>
  <r>
    <s v="A69"/>
    <x v="1"/>
    <d v="2025-03-08T00:00:00"/>
    <x v="1"/>
    <x v="6"/>
    <n v="10580"/>
    <n v="427"/>
    <n v="790"/>
    <n v="2814"/>
    <n v="24916"/>
    <n v="213312"/>
    <x v="4"/>
    <n v="5.530396789678968E-2"/>
  </r>
  <r>
    <s v="A70"/>
    <x v="3"/>
    <d v="2025-04-02T00:00:00"/>
    <x v="1"/>
    <x v="7"/>
    <n v="6858"/>
    <n v="415"/>
    <n v="366"/>
    <n v="2761"/>
    <n v="2988"/>
    <n v="177348"/>
    <x v="0"/>
    <n v="4.3073505198818141E-2"/>
  </r>
  <r>
    <s v="A71"/>
    <x v="3"/>
    <d v="2024-09-02T00:00:00"/>
    <x v="3"/>
    <x v="3"/>
    <n v="12040"/>
    <n v="1147"/>
    <n v="210"/>
    <n v="885"/>
    <n v="30360"/>
    <n v="119530"/>
    <x v="3"/>
    <n v="0.1120806492094035"/>
  </r>
  <r>
    <s v="A72"/>
    <x v="3"/>
    <d v="2025-03-03T00:00:00"/>
    <x v="3"/>
    <x v="8"/>
    <n v="24928"/>
    <n v="214"/>
    <n v="765"/>
    <n v="1556"/>
    <n v="5239"/>
    <n v="194571"/>
    <x v="4"/>
    <n v="0.13314933880177415"/>
  </r>
  <r>
    <s v="A73"/>
    <x v="2"/>
    <d v="2025-09-21T00:00:00"/>
    <x v="2"/>
    <x v="0"/>
    <n v="23103"/>
    <n v="1380"/>
    <n v="191"/>
    <n v="1547"/>
    <n v="77798"/>
    <n v="148856"/>
    <x v="1"/>
    <n v="0.16575751061428495"/>
  </r>
  <r>
    <s v="A74"/>
    <x v="3"/>
    <d v="2024-10-28T00:00:00"/>
    <x v="3"/>
    <x v="3"/>
    <n v="21198"/>
    <n v="1484"/>
    <n v="174"/>
    <n v="1293"/>
    <n v="16330"/>
    <n v="111635"/>
    <x v="3"/>
    <n v="0.20473865723115511"/>
  </r>
  <r>
    <s v="A75"/>
    <x v="2"/>
    <d v="2024-08-01T00:00:00"/>
    <x v="0"/>
    <x v="2"/>
    <n v="21758"/>
    <n v="1380"/>
    <n v="188"/>
    <n v="1735"/>
    <n v="20998"/>
    <n v="147803"/>
    <x v="4"/>
    <n v="0.15781817689762725"/>
  </r>
  <r>
    <s v="A76"/>
    <x v="3"/>
    <d v="2024-11-07T00:00:00"/>
    <x v="3"/>
    <x v="4"/>
    <n v="17254"/>
    <n v="246"/>
    <n v="952"/>
    <n v="871"/>
    <n v="14957"/>
    <n v="75946"/>
    <x v="4"/>
    <n v="0.24296210465330631"/>
  </r>
  <r>
    <s v="A77"/>
    <x v="1"/>
    <d v="2025-03-04T00:00:00"/>
    <x v="3"/>
    <x v="7"/>
    <n v="13470"/>
    <n v="523"/>
    <n v="280"/>
    <n v="2682"/>
    <n v="8538"/>
    <n v="95204"/>
    <x v="0"/>
    <n v="0.14992017142136885"/>
  </r>
  <r>
    <s v="A78"/>
    <x v="1"/>
    <d v="2024-06-17T00:00:00"/>
    <x v="0"/>
    <x v="5"/>
    <n v="3252"/>
    <n v="1043"/>
    <n v="647"/>
    <n v="1545"/>
    <n v="18859"/>
    <n v="222958"/>
    <x v="0"/>
    <n v="2.2165609666394567E-2"/>
  </r>
  <r>
    <s v="A79"/>
    <x v="0"/>
    <d v="2025-09-22T00:00:00"/>
    <x v="2"/>
    <x v="11"/>
    <n v="8996"/>
    <n v="329"/>
    <n v="378"/>
    <n v="2384"/>
    <n v="39404"/>
    <n v="242724"/>
    <x v="1"/>
    <n v="3.9975445361810122E-2"/>
  </r>
  <r>
    <s v="A80"/>
    <x v="1"/>
    <d v="2024-06-13T00:00:00"/>
    <x v="0"/>
    <x v="0"/>
    <n v="14173"/>
    <n v="294"/>
    <n v="257"/>
    <n v="1288"/>
    <n v="39466"/>
    <n v="55563"/>
    <x v="4"/>
    <n v="0.26499649047027696"/>
  </r>
  <r>
    <s v="A81"/>
    <x v="0"/>
    <d v="2024-10-19T00:00:00"/>
    <x v="3"/>
    <x v="3"/>
    <n v="6673"/>
    <n v="826"/>
    <n v="321"/>
    <n v="577"/>
    <n v="19262"/>
    <n v="132324"/>
    <x v="4"/>
    <n v="5.9097367068710133E-2"/>
  </r>
  <r>
    <s v="A82"/>
    <x v="1"/>
    <d v="2024-07-24T00:00:00"/>
    <x v="2"/>
    <x v="5"/>
    <n v="22914"/>
    <n v="954"/>
    <n v="584"/>
    <n v="1519"/>
    <n v="13637"/>
    <n v="49847"/>
    <x v="0"/>
    <n v="0.49054105563022848"/>
  </r>
  <r>
    <s v="A83"/>
    <x v="2"/>
    <d v="2024-10-15T00:00:00"/>
    <x v="3"/>
    <x v="4"/>
    <n v="17781"/>
    <n v="993"/>
    <n v="627"/>
    <n v="2187"/>
    <n v="9609"/>
    <n v="66155"/>
    <x v="3"/>
    <n v="0.29326581513113142"/>
  </r>
  <r>
    <s v="A84"/>
    <x v="1"/>
    <d v="2024-12-09T00:00:00"/>
    <x v="0"/>
    <x v="1"/>
    <n v="15051"/>
    <n v="268"/>
    <n v="251"/>
    <n v="783"/>
    <n v="34154"/>
    <n v="119671"/>
    <x v="3"/>
    <n v="0.13010670922779954"/>
  </r>
  <r>
    <s v="A85"/>
    <x v="0"/>
    <d v="2025-04-19T00:00:00"/>
    <x v="0"/>
    <x v="5"/>
    <n v="8881"/>
    <n v="210"/>
    <n v="673"/>
    <n v="1565"/>
    <n v="24847"/>
    <n v="156891"/>
    <x v="2"/>
    <n v="6.223429004850501E-2"/>
  </r>
  <r>
    <s v="A86"/>
    <x v="0"/>
    <d v="2025-01-27T00:00:00"/>
    <x v="3"/>
    <x v="7"/>
    <n v="8949"/>
    <n v="1477"/>
    <n v="424"/>
    <n v="1030"/>
    <n v="58052"/>
    <n v="123310"/>
    <x v="0"/>
    <n v="8.7989619657773091E-2"/>
  </r>
  <r>
    <s v="A87"/>
    <x v="3"/>
    <d v="2024-06-06T00:00:00"/>
    <x v="1"/>
    <x v="7"/>
    <n v="11521"/>
    <n v="1071"/>
    <n v="762"/>
    <n v="2539"/>
    <n v="12701"/>
    <n v="238350"/>
    <x v="2"/>
    <n v="5.6026851269142017E-2"/>
  </r>
  <r>
    <s v="A88"/>
    <x v="2"/>
    <d v="2024-07-07T00:00:00"/>
    <x v="1"/>
    <x v="1"/>
    <n v="24625"/>
    <n v="749"/>
    <n v="193"/>
    <n v="1340"/>
    <n v="4890"/>
    <n v="189381"/>
    <x v="0"/>
    <n v="0.13500298340382616"/>
  </r>
  <r>
    <s v="A89"/>
    <x v="1"/>
    <d v="2025-09-23T00:00:00"/>
    <x v="0"/>
    <x v="11"/>
    <n v="10017"/>
    <n v="1357"/>
    <n v="966"/>
    <n v="2871"/>
    <n v="14800"/>
    <n v="171691"/>
    <x v="1"/>
    <n v="7.1873307278774071E-2"/>
  </r>
  <r>
    <s v="A90"/>
    <x v="3"/>
    <d v="2024-06-03T00:00:00"/>
    <x v="0"/>
    <x v="8"/>
    <n v="8941"/>
    <n v="911"/>
    <n v="166"/>
    <n v="1217"/>
    <n v="68817"/>
    <n v="221180"/>
    <x v="4"/>
    <n v="4.5293426168731353E-2"/>
  </r>
  <r>
    <s v="A91"/>
    <x v="1"/>
    <d v="2025-09-24T00:00:00"/>
    <x v="1"/>
    <x v="5"/>
    <n v="12209"/>
    <n v="222"/>
    <n v="479"/>
    <n v="2748"/>
    <n v="24615"/>
    <n v="74707"/>
    <x v="1"/>
    <n v="0.17280843829895459"/>
  </r>
  <r>
    <s v="A92"/>
    <x v="1"/>
    <d v="2024-10-21T00:00:00"/>
    <x v="1"/>
    <x v="1"/>
    <n v="19715"/>
    <n v="1014"/>
    <n v="718"/>
    <n v="1185"/>
    <n v="37625"/>
    <n v="191409"/>
    <x v="0"/>
    <n v="0.11204802282024356"/>
  </r>
  <r>
    <s v="A93"/>
    <x v="3"/>
    <d v="2024-12-11T00:00:00"/>
    <x v="3"/>
    <x v="7"/>
    <n v="22645"/>
    <n v="545"/>
    <n v="972"/>
    <n v="321"/>
    <n v="8396"/>
    <n v="121537"/>
    <x v="4"/>
    <n v="0.19880365649966678"/>
  </r>
  <r>
    <s v="A94"/>
    <x v="3"/>
    <d v="2024-11-07T00:00:00"/>
    <x v="3"/>
    <x v="7"/>
    <n v="11550"/>
    <n v="501"/>
    <n v="646"/>
    <n v="773"/>
    <n v="17841"/>
    <n v="237576"/>
    <x v="3"/>
    <n v="5.3443950567397383E-2"/>
  </r>
  <r>
    <s v="A95"/>
    <x v="3"/>
    <d v="2024-11-08T00:00:00"/>
    <x v="1"/>
    <x v="3"/>
    <n v="23499"/>
    <n v="562"/>
    <n v="964"/>
    <n v="2557"/>
    <n v="56890"/>
    <n v="218686"/>
    <x v="3"/>
    <n v="0.11443347996671026"/>
  </r>
  <r>
    <s v="A96"/>
    <x v="3"/>
    <d v="2024-09-10T00:00:00"/>
    <x v="3"/>
    <x v="6"/>
    <n v="6637"/>
    <n v="595"/>
    <n v="161"/>
    <n v="2653"/>
    <n v="19334"/>
    <n v="131155"/>
    <x v="2"/>
    <n v="5.6368419046166747E-2"/>
  </r>
  <r>
    <s v="A97"/>
    <x v="3"/>
    <d v="2024-08-13T00:00:00"/>
    <x v="3"/>
    <x v="11"/>
    <n v="6854"/>
    <n v="417"/>
    <n v="467"/>
    <n v="1003"/>
    <n v="61333"/>
    <n v="40281"/>
    <x v="0"/>
    <n v="0.19210049402944315"/>
  </r>
  <r>
    <s v="A98"/>
    <x v="1"/>
    <d v="2024-06-10T00:00:00"/>
    <x v="2"/>
    <x v="5"/>
    <n v="21561"/>
    <n v="340"/>
    <n v="741"/>
    <n v="986"/>
    <n v="24826"/>
    <n v="198492"/>
    <x v="0"/>
    <n v="0.11407008846704149"/>
  </r>
  <r>
    <s v="A99"/>
    <x v="3"/>
    <d v="2024-07-02T00:00:00"/>
    <x v="3"/>
    <x v="5"/>
    <n v="12320"/>
    <n v="1157"/>
    <n v="365"/>
    <n v="584"/>
    <n v="66634"/>
    <n v="210102"/>
    <x v="3"/>
    <n v="6.5882285746922925E-2"/>
  </r>
  <r>
    <s v="A100"/>
    <x v="2"/>
    <d v="2025-09-25T00:00:00"/>
    <x v="0"/>
    <x v="4"/>
    <n v="20564"/>
    <n v="1433"/>
    <n v="488"/>
    <n v="1015"/>
    <n v="24333"/>
    <n v="172130"/>
    <x v="1"/>
    <n v="0.13062801371056759"/>
  </r>
  <r>
    <s v="A101"/>
    <x v="0"/>
    <d v="2024-10-18T00:00:00"/>
    <x v="3"/>
    <x v="1"/>
    <n v="6892"/>
    <n v="1184"/>
    <n v="925"/>
    <n v="1062"/>
    <n v="75008"/>
    <n v="116260"/>
    <x v="4"/>
    <n v="7.7421297092723204E-2"/>
  </r>
  <r>
    <s v="A102"/>
    <x v="3"/>
    <d v="2025-09-26T00:00:00"/>
    <x v="3"/>
    <x v="4"/>
    <n v="9043"/>
    <n v="1192"/>
    <n v="810"/>
    <n v="1550"/>
    <n v="5221"/>
    <n v="199476"/>
    <x v="1"/>
    <n v="5.5370069582305642E-2"/>
  </r>
  <r>
    <s v="A103"/>
    <x v="3"/>
    <d v="2025-09-27T00:00:00"/>
    <x v="1"/>
    <x v="1"/>
    <n v="18521"/>
    <n v="1027"/>
    <n v="230"/>
    <n v="1247"/>
    <n v="39588"/>
    <n v="200928"/>
    <x v="1"/>
    <n v="9.8433269628921807E-2"/>
  </r>
  <r>
    <s v="A104"/>
    <x v="1"/>
    <d v="2025-03-23T00:00:00"/>
    <x v="0"/>
    <x v="2"/>
    <n v="24711"/>
    <n v="882"/>
    <n v="876"/>
    <n v="2728"/>
    <n v="32015"/>
    <n v="180272"/>
    <x v="3"/>
    <n v="0.1468281263867933"/>
  </r>
  <r>
    <s v="A105"/>
    <x v="3"/>
    <d v="2024-06-14T00:00:00"/>
    <x v="3"/>
    <x v="7"/>
    <n v="21856"/>
    <n v="1203"/>
    <n v="634"/>
    <n v="2807"/>
    <n v="3647"/>
    <n v="104178"/>
    <x v="3"/>
    <n v="0.22742805582752595"/>
  </r>
  <r>
    <s v="A106"/>
    <x v="3"/>
    <d v="2025-02-04T00:00:00"/>
    <x v="3"/>
    <x v="6"/>
    <n v="23833"/>
    <n v="555"/>
    <n v="523"/>
    <n v="1330"/>
    <n v="69141"/>
    <n v="73997"/>
    <x v="3"/>
    <n v="0.33664878305877266"/>
  </r>
  <r>
    <s v="A107"/>
    <x v="3"/>
    <d v="2024-06-21T00:00:00"/>
    <x v="2"/>
    <x v="3"/>
    <n v="21216"/>
    <n v="1207"/>
    <n v="859"/>
    <n v="328"/>
    <n v="91296"/>
    <n v="196683"/>
    <x v="2"/>
    <n v="0.1183732198512327"/>
  </r>
  <r>
    <s v="A108"/>
    <x v="1"/>
    <d v="2025-09-28T00:00:00"/>
    <x v="3"/>
    <x v="6"/>
    <n v="21963"/>
    <n v="1356"/>
    <n v="349"/>
    <n v="1206"/>
    <n v="51755"/>
    <n v="159273"/>
    <x v="1"/>
    <n v="0.14860020216860359"/>
  </r>
  <r>
    <s v="A109"/>
    <x v="3"/>
    <d v="2024-08-08T00:00:00"/>
    <x v="3"/>
    <x v="6"/>
    <n v="24355"/>
    <n v="1087"/>
    <n v="686"/>
    <n v="2426"/>
    <n v="24963"/>
    <n v="212307"/>
    <x v="0"/>
    <n v="0.1230670679723231"/>
  </r>
  <r>
    <s v="A110"/>
    <x v="0"/>
    <d v="2024-07-29T00:00:00"/>
    <x v="2"/>
    <x v="6"/>
    <n v="6164"/>
    <n v="326"/>
    <n v="615"/>
    <n v="2806"/>
    <n v="38579"/>
    <n v="206129"/>
    <x v="4"/>
    <n v="3.4468706489625425E-2"/>
  </r>
  <r>
    <s v="A111"/>
    <x v="1"/>
    <d v="2024-11-23T00:00:00"/>
    <x v="1"/>
    <x v="4"/>
    <n v="9941"/>
    <n v="1329"/>
    <n v="238"/>
    <n v="869"/>
    <n v="40281"/>
    <n v="172311"/>
    <x v="2"/>
    <n v="6.6786217943137702E-2"/>
  </r>
  <r>
    <s v="A112"/>
    <x v="0"/>
    <d v="2024-10-05T00:00:00"/>
    <x v="3"/>
    <x v="1"/>
    <n v="16388"/>
    <n v="1208"/>
    <n v="417"/>
    <n v="2306"/>
    <n v="16865"/>
    <n v="236733"/>
    <x v="0"/>
    <n v="7.6089940988370866E-2"/>
  </r>
  <r>
    <s v="A113"/>
    <x v="1"/>
    <d v="2025-09-29T00:00:00"/>
    <x v="2"/>
    <x v="9"/>
    <n v="7569"/>
    <n v="803"/>
    <n v="804"/>
    <n v="1753"/>
    <n v="43582"/>
    <n v="166945"/>
    <x v="1"/>
    <n v="5.4964209769684629E-2"/>
  </r>
  <r>
    <s v="A114"/>
    <x v="3"/>
    <d v="2024-11-14T00:00:00"/>
    <x v="0"/>
    <x v="2"/>
    <n v="6300"/>
    <n v="1213"/>
    <n v="720"/>
    <n v="1037"/>
    <n v="39569"/>
    <n v="85272"/>
    <x v="3"/>
    <n v="9.6549863964724647E-2"/>
  </r>
  <r>
    <s v="A115"/>
    <x v="0"/>
    <d v="2025-09-30T00:00:00"/>
    <x v="1"/>
    <x v="0"/>
    <n v="8269"/>
    <n v="250"/>
    <n v="638"/>
    <n v="815"/>
    <n v="41991"/>
    <n v="129393"/>
    <x v="1"/>
    <n v="7.0768897853825175E-2"/>
  </r>
  <r>
    <s v="A116"/>
    <x v="1"/>
    <d v="2025-03-18T00:00:00"/>
    <x v="0"/>
    <x v="6"/>
    <n v="5818"/>
    <n v="1252"/>
    <n v="687"/>
    <n v="2300"/>
    <n v="25081"/>
    <n v="101212"/>
    <x v="4"/>
    <n v="7.6641109749832043E-2"/>
  </r>
  <r>
    <s v="A117"/>
    <x v="2"/>
    <d v="2024-11-04T00:00:00"/>
    <x v="0"/>
    <x v="8"/>
    <n v="14015"/>
    <n v="978"/>
    <n v="196"/>
    <n v="2744"/>
    <n v="20190"/>
    <n v="186470"/>
    <x v="2"/>
    <n v="8.1455462004611998E-2"/>
  </r>
  <r>
    <s v="A118"/>
    <x v="3"/>
    <d v="2024-11-04T00:00:00"/>
    <x v="2"/>
    <x v="4"/>
    <n v="14234"/>
    <n v="1013"/>
    <n v="437"/>
    <n v="338"/>
    <n v="67754"/>
    <n v="160030"/>
    <x v="2"/>
    <n v="9.8006623758045364E-2"/>
  </r>
  <r>
    <s v="A119"/>
    <x v="1"/>
    <d v="2025-02-07T00:00:00"/>
    <x v="3"/>
    <x v="11"/>
    <n v="20290"/>
    <n v="619"/>
    <n v="927"/>
    <n v="1186"/>
    <n v="8924"/>
    <n v="96503"/>
    <x v="4"/>
    <n v="0.22627275835984373"/>
  </r>
  <r>
    <s v="A120"/>
    <x v="2"/>
    <d v="2024-10-21T00:00:00"/>
    <x v="2"/>
    <x v="3"/>
    <n v="8254"/>
    <n v="1405"/>
    <n v="165"/>
    <n v="2504"/>
    <n v="8081"/>
    <n v="177710"/>
    <x v="0"/>
    <n v="5.5281075910190762E-2"/>
  </r>
  <r>
    <s v="A121"/>
    <x v="1"/>
    <d v="2024-07-29T00:00:00"/>
    <x v="2"/>
    <x v="0"/>
    <n v="19144"/>
    <n v="1182"/>
    <n v="860"/>
    <n v="1398"/>
    <n v="4185"/>
    <n v="46570"/>
    <x v="0"/>
    <n v="0.454928065278076"/>
  </r>
  <r>
    <s v="A122"/>
    <x v="2"/>
    <d v="2024-10-02T00:00:00"/>
    <x v="2"/>
    <x v="9"/>
    <n v="9350"/>
    <n v="1024"/>
    <n v="550"/>
    <n v="2123"/>
    <n v="53916"/>
    <n v="108785"/>
    <x v="2"/>
    <n v="0.10041825619340902"/>
  </r>
  <r>
    <s v="A123"/>
    <x v="3"/>
    <d v="2024-06-14T00:00:00"/>
    <x v="2"/>
    <x v="8"/>
    <n v="17183"/>
    <n v="1224"/>
    <n v="943"/>
    <n v="2010"/>
    <n v="21481"/>
    <n v="49110"/>
    <x v="2"/>
    <n v="0.39401343921808185"/>
  </r>
  <r>
    <s v="A124"/>
    <x v="0"/>
    <d v="2025-04-06T00:00:00"/>
    <x v="1"/>
    <x v="9"/>
    <n v="8238"/>
    <n v="766"/>
    <n v="235"/>
    <n v="1273"/>
    <n v="4706"/>
    <n v="119141"/>
    <x v="3"/>
    <n v="7.7546772311798629E-2"/>
  </r>
  <r>
    <s v="A125"/>
    <x v="2"/>
    <d v="2024-09-08T00:00:00"/>
    <x v="3"/>
    <x v="0"/>
    <n v="8090"/>
    <n v="570"/>
    <n v="399"/>
    <n v="1862"/>
    <n v="34088"/>
    <n v="52115"/>
    <x v="0"/>
    <n v="0.17382711311522595"/>
  </r>
  <r>
    <s v="A126"/>
    <x v="1"/>
    <d v="2025-03-28T00:00:00"/>
    <x v="0"/>
    <x v="6"/>
    <n v="13637"/>
    <n v="1135"/>
    <n v="540"/>
    <n v="1288"/>
    <n v="45183"/>
    <n v="79062"/>
    <x v="4"/>
    <n v="0.19367079001290127"/>
  </r>
  <r>
    <s v="A127"/>
    <x v="3"/>
    <d v="2025-01-27T00:00:00"/>
    <x v="0"/>
    <x v="8"/>
    <n v="24415"/>
    <n v="860"/>
    <n v="931"/>
    <n v="320"/>
    <n v="65049"/>
    <n v="62911"/>
    <x v="0"/>
    <n v="0.41655672298962027"/>
  </r>
  <r>
    <s v="A128"/>
    <x v="2"/>
    <d v="2025-01-10T00:00:00"/>
    <x v="3"/>
    <x v="9"/>
    <n v="14647"/>
    <n v="1168"/>
    <n v="484"/>
    <n v="2650"/>
    <n v="27217"/>
    <n v="144061"/>
    <x v="3"/>
    <n v="0.11313957281984714"/>
  </r>
  <r>
    <s v="A129"/>
    <x v="1"/>
    <d v="2024-07-21T00:00:00"/>
    <x v="0"/>
    <x v="3"/>
    <n v="11911"/>
    <n v="1360"/>
    <n v="778"/>
    <n v="1168"/>
    <n v="16483"/>
    <n v="72556"/>
    <x v="2"/>
    <n v="0.19362974805667346"/>
  </r>
  <r>
    <s v="A130"/>
    <x v="1"/>
    <d v="2024-09-29T00:00:00"/>
    <x v="3"/>
    <x v="1"/>
    <n v="10472"/>
    <n v="401"/>
    <n v="668"/>
    <n v="383"/>
    <n v="37571"/>
    <n v="249203"/>
    <x v="2"/>
    <n v="4.6311641513143903E-2"/>
  </r>
  <r>
    <s v="A131"/>
    <x v="1"/>
    <d v="2024-10-21T00:00:00"/>
    <x v="0"/>
    <x v="7"/>
    <n v="20271"/>
    <n v="512"/>
    <n v="286"/>
    <n v="1982"/>
    <n v="43225"/>
    <n v="168335"/>
    <x v="3"/>
    <n v="0.12516113701844536"/>
  </r>
  <r>
    <s v="A132"/>
    <x v="2"/>
    <d v="2025-03-04T00:00:00"/>
    <x v="2"/>
    <x v="1"/>
    <n v="5266"/>
    <n v="316"/>
    <n v="837"/>
    <n v="2276"/>
    <n v="20967"/>
    <n v="41969"/>
    <x v="4"/>
    <n v="0.1529462222116324"/>
  </r>
  <r>
    <s v="A133"/>
    <x v="2"/>
    <d v="2025-02-06T00:00:00"/>
    <x v="0"/>
    <x v="0"/>
    <n v="2666"/>
    <n v="1136"/>
    <n v="989"/>
    <n v="1710"/>
    <n v="36467"/>
    <n v="83753"/>
    <x v="2"/>
    <n v="5.7203921053574198E-2"/>
  </r>
  <r>
    <s v="A134"/>
    <x v="2"/>
    <d v="2025-10-01T00:00:00"/>
    <x v="3"/>
    <x v="4"/>
    <n v="6188"/>
    <n v="774"/>
    <n v="647"/>
    <n v="1830"/>
    <n v="55436"/>
    <n v="175542"/>
    <x v="1"/>
    <n v="4.3345752013763089E-2"/>
  </r>
  <r>
    <s v="A135"/>
    <x v="0"/>
    <d v="2024-11-28T00:00:00"/>
    <x v="3"/>
    <x v="7"/>
    <n v="19055"/>
    <n v="443"/>
    <n v="976"/>
    <n v="869"/>
    <n v="75437"/>
    <n v="161863"/>
    <x v="2"/>
    <n v="0.12648968572187591"/>
  </r>
  <r>
    <s v="A136"/>
    <x v="2"/>
    <d v="2025-10-02T00:00:00"/>
    <x v="3"/>
    <x v="2"/>
    <n v="12161"/>
    <n v="736"/>
    <n v="876"/>
    <n v="1233"/>
    <n v="21337"/>
    <n v="50225"/>
    <x v="1"/>
    <n v="0.27422598307615731"/>
  </r>
  <r>
    <s v="A137"/>
    <x v="2"/>
    <d v="2024-07-31T00:00:00"/>
    <x v="3"/>
    <x v="3"/>
    <n v="13314"/>
    <n v="274"/>
    <n v="626"/>
    <n v="2280"/>
    <n v="14639"/>
    <n v="163008"/>
    <x v="3"/>
    <n v="8.7198174322732622E-2"/>
  </r>
  <r>
    <s v="A138"/>
    <x v="2"/>
    <d v="2025-03-29T00:00:00"/>
    <x v="3"/>
    <x v="2"/>
    <n v="23508"/>
    <n v="585"/>
    <n v="743"/>
    <n v="2155"/>
    <n v="3704"/>
    <n v="194268"/>
    <x v="3"/>
    <n v="0.1278440093067309"/>
  </r>
  <r>
    <s v="A139"/>
    <x v="0"/>
    <d v="2024-10-29T00:00:00"/>
    <x v="1"/>
    <x v="8"/>
    <n v="23969"/>
    <n v="1433"/>
    <n v="372"/>
    <n v="1092"/>
    <n v="32147"/>
    <n v="145823"/>
    <x v="2"/>
    <n v="0.17674852389540743"/>
  </r>
  <r>
    <s v="A140"/>
    <x v="2"/>
    <d v="2024-07-15T00:00:00"/>
    <x v="1"/>
    <x v="5"/>
    <n v="14891"/>
    <n v="674"/>
    <n v="521"/>
    <n v="1091"/>
    <n v="18101"/>
    <n v="53669"/>
    <x v="0"/>
    <n v="0.29972609886526674"/>
  </r>
  <r>
    <s v="A141"/>
    <x v="1"/>
    <d v="2025-10-03T00:00:00"/>
    <x v="0"/>
    <x v="7"/>
    <n v="6777"/>
    <n v="617"/>
    <n v="551"/>
    <n v="2109"/>
    <n v="18559"/>
    <n v="208452"/>
    <x v="1"/>
    <n v="3.8114290100358834E-2"/>
  </r>
  <r>
    <s v="A142"/>
    <x v="2"/>
    <d v="2025-03-25T00:00:00"/>
    <x v="3"/>
    <x v="2"/>
    <n v="5900"/>
    <n v="546"/>
    <n v="592"/>
    <n v="1594"/>
    <n v="38627"/>
    <n v="164398"/>
    <x v="4"/>
    <n v="4.2810739790021778E-2"/>
  </r>
  <r>
    <s v="A143"/>
    <x v="1"/>
    <d v="2024-10-02T00:00:00"/>
    <x v="0"/>
    <x v="2"/>
    <n v="15716"/>
    <n v="839"/>
    <n v="639"/>
    <n v="2839"/>
    <n v="349"/>
    <n v="150677"/>
    <x v="2"/>
    <n v="0.11411164278556117"/>
  </r>
  <r>
    <s v="A144"/>
    <x v="1"/>
    <d v="2024-10-28T00:00:00"/>
    <x v="3"/>
    <x v="9"/>
    <n v="8981"/>
    <n v="1138"/>
    <n v="764"/>
    <n v="2555"/>
    <n v="92810"/>
    <n v="88320"/>
    <x v="4"/>
    <n v="0.1232223731884058"/>
  </r>
  <r>
    <s v="A145"/>
    <x v="1"/>
    <d v="2024-08-12T00:00:00"/>
    <x v="3"/>
    <x v="1"/>
    <n v="8376"/>
    <n v="1154"/>
    <n v="422"/>
    <n v="1907"/>
    <n v="36874"/>
    <n v="218486"/>
    <x v="2"/>
    <n v="4.5549829279679245E-2"/>
  </r>
  <r>
    <s v="A146"/>
    <x v="0"/>
    <d v="2024-06-05T00:00:00"/>
    <x v="1"/>
    <x v="9"/>
    <n v="18907"/>
    <n v="1075"/>
    <n v="675"/>
    <n v="1383"/>
    <n v="17875"/>
    <n v="186649"/>
    <x v="0"/>
    <n v="0.11067297440650634"/>
  </r>
  <r>
    <s v="A147"/>
    <x v="0"/>
    <d v="2024-10-21T00:00:00"/>
    <x v="1"/>
    <x v="7"/>
    <n v="20777"/>
    <n v="962"/>
    <n v="308"/>
    <n v="2777"/>
    <n v="25529"/>
    <n v="165354"/>
    <x v="0"/>
    <n v="0.13333212380710477"/>
  </r>
  <r>
    <s v="A148"/>
    <x v="0"/>
    <d v="2025-04-15T00:00:00"/>
    <x v="2"/>
    <x v="7"/>
    <n v="20977"/>
    <n v="1402"/>
    <n v="301"/>
    <n v="1284"/>
    <n v="24620"/>
    <n v="128009"/>
    <x v="0"/>
    <n v="0.17717504237983267"/>
  </r>
  <r>
    <s v="A149"/>
    <x v="2"/>
    <d v="2024-06-16T00:00:00"/>
    <x v="1"/>
    <x v="0"/>
    <n v="12160"/>
    <n v="1405"/>
    <n v="769"/>
    <n v="1980"/>
    <n v="33174"/>
    <n v="226481"/>
    <x v="0"/>
    <n v="6.329007731332871E-2"/>
  </r>
  <r>
    <s v="A150"/>
    <x v="1"/>
    <d v="2024-08-22T00:00:00"/>
    <x v="2"/>
    <x v="9"/>
    <n v="16124"/>
    <n v="863"/>
    <n v="337"/>
    <n v="819"/>
    <n v="85788"/>
    <n v="68625"/>
    <x v="3"/>
    <n v="0.25244444444444447"/>
  </r>
  <r>
    <s v="A151"/>
    <x v="0"/>
    <d v="2024-07-26T00:00:00"/>
    <x v="2"/>
    <x v="10"/>
    <n v="18282"/>
    <n v="224"/>
    <n v="962"/>
    <n v="890"/>
    <n v="35105"/>
    <n v="64089"/>
    <x v="3"/>
    <n v="0.30376507669022768"/>
  </r>
  <r>
    <s v="A152"/>
    <x v="0"/>
    <d v="2025-10-04T00:00:00"/>
    <x v="2"/>
    <x v="11"/>
    <n v="12488"/>
    <n v="1403"/>
    <n v="247"/>
    <n v="1350"/>
    <n v="28370"/>
    <n v="76487"/>
    <x v="1"/>
    <n v="0.18484186855282597"/>
  </r>
  <r>
    <s v="A153"/>
    <x v="2"/>
    <d v="2025-01-01T00:00:00"/>
    <x v="2"/>
    <x v="1"/>
    <n v="24574"/>
    <n v="909"/>
    <n v="280"/>
    <n v="2009"/>
    <n v="6221"/>
    <n v="236910"/>
    <x v="4"/>
    <n v="0.10874593727575872"/>
  </r>
  <r>
    <s v="A154"/>
    <x v="0"/>
    <d v="2024-10-09T00:00:00"/>
    <x v="2"/>
    <x v="7"/>
    <n v="7240"/>
    <n v="1384"/>
    <n v="954"/>
    <n v="2335"/>
    <n v="6757"/>
    <n v="150448"/>
    <x v="2"/>
    <n v="6.3663192598106988E-2"/>
  </r>
  <r>
    <s v="A155"/>
    <x v="2"/>
    <d v="2024-12-21T00:00:00"/>
    <x v="0"/>
    <x v="0"/>
    <n v="12453"/>
    <n v="376"/>
    <n v="320"/>
    <n v="2546"/>
    <n v="22617"/>
    <n v="90138"/>
    <x v="2"/>
    <n v="0.14587632297144379"/>
  </r>
  <r>
    <s v="A156"/>
    <x v="3"/>
    <d v="2024-10-22T00:00:00"/>
    <x v="1"/>
    <x v="5"/>
    <n v="12478"/>
    <n v="484"/>
    <n v="332"/>
    <n v="2734"/>
    <n v="43338"/>
    <n v="213895"/>
    <x v="3"/>
    <n v="6.2151990462610156E-2"/>
  </r>
  <r>
    <s v="A157"/>
    <x v="0"/>
    <d v="2024-07-23T00:00:00"/>
    <x v="2"/>
    <x v="9"/>
    <n v="24877"/>
    <n v="262"/>
    <n v="513"/>
    <n v="648"/>
    <n v="47544"/>
    <n v="208280"/>
    <x v="2"/>
    <n v="0.12316112924908777"/>
  </r>
  <r>
    <s v="A158"/>
    <x v="3"/>
    <d v="2024-08-11T00:00:00"/>
    <x v="3"/>
    <x v="1"/>
    <n v="14394"/>
    <n v="1202"/>
    <n v="188"/>
    <n v="1259"/>
    <n v="21925"/>
    <n v="94061"/>
    <x v="3"/>
    <n v="0.1678059982351878"/>
  </r>
  <r>
    <s v="A159"/>
    <x v="2"/>
    <d v="2025-10-05T00:00:00"/>
    <x v="1"/>
    <x v="5"/>
    <n v="21262"/>
    <n v="861"/>
    <n v="676"/>
    <n v="2263"/>
    <n v="12085"/>
    <n v="201731"/>
    <x v="1"/>
    <n v="0.11301683925623726"/>
  </r>
  <r>
    <s v="A160"/>
    <x v="1"/>
    <d v="2024-08-24T00:00:00"/>
    <x v="1"/>
    <x v="9"/>
    <n v="22527"/>
    <n v="865"/>
    <n v="646"/>
    <n v="992"/>
    <n v="18654"/>
    <n v="141376"/>
    <x v="4"/>
    <n v="0.17002885921231325"/>
  </r>
  <r>
    <s v="A161"/>
    <x v="0"/>
    <d v="2025-10-06T00:00:00"/>
    <x v="2"/>
    <x v="2"/>
    <n v="22028"/>
    <n v="355"/>
    <n v="665"/>
    <n v="1859"/>
    <n v="50565"/>
    <n v="202962"/>
    <x v="1"/>
    <n v="0.11355820301337197"/>
  </r>
  <r>
    <s v="A162"/>
    <x v="2"/>
    <d v="2025-04-01T00:00:00"/>
    <x v="0"/>
    <x v="5"/>
    <n v="6432"/>
    <n v="1272"/>
    <n v="498"/>
    <n v="677"/>
    <n v="47305"/>
    <n v="119134"/>
    <x v="0"/>
    <n v="6.8846844729464299E-2"/>
  </r>
  <r>
    <s v="A163"/>
    <x v="1"/>
    <d v="2025-04-08T00:00:00"/>
    <x v="2"/>
    <x v="0"/>
    <n v="15568"/>
    <n v="1166"/>
    <n v="546"/>
    <n v="826"/>
    <n v="21836"/>
    <n v="87055"/>
    <x v="0"/>
    <n v="0.19849520418126471"/>
  </r>
  <r>
    <s v="A164"/>
    <x v="1"/>
    <d v="2025-02-27T00:00:00"/>
    <x v="0"/>
    <x v="1"/>
    <n v="16178"/>
    <n v="1048"/>
    <n v="871"/>
    <n v="2553"/>
    <n v="39025"/>
    <n v="59508"/>
    <x v="0"/>
    <n v="0.30411037171472743"/>
  </r>
  <r>
    <s v="A165"/>
    <x v="3"/>
    <d v="2025-10-07T00:00:00"/>
    <x v="3"/>
    <x v="6"/>
    <n v="19660"/>
    <n v="1307"/>
    <n v="310"/>
    <n v="2802"/>
    <n v="22171"/>
    <n v="213359"/>
    <x v="1"/>
    <n v="9.9723939463533293E-2"/>
  </r>
  <r>
    <s v="A166"/>
    <x v="2"/>
    <d v="2025-02-16T00:00:00"/>
    <x v="1"/>
    <x v="8"/>
    <n v="24195"/>
    <n v="888"/>
    <n v="165"/>
    <n v="1559"/>
    <n v="11596"/>
    <n v="249988"/>
    <x v="2"/>
    <n v="0.10099684784869674"/>
  </r>
  <r>
    <s v="A167"/>
    <x v="1"/>
    <d v="2024-11-28T00:00:00"/>
    <x v="3"/>
    <x v="8"/>
    <n v="2302"/>
    <n v="347"/>
    <n v="642"/>
    <n v="2175"/>
    <n v="56378"/>
    <n v="198056"/>
    <x v="4"/>
    <n v="1.6616512501514722E-2"/>
  </r>
  <r>
    <s v="A168"/>
    <x v="0"/>
    <d v="2024-11-12T00:00:00"/>
    <x v="0"/>
    <x v="1"/>
    <n v="19022"/>
    <n v="541"/>
    <n v="575"/>
    <n v="2063"/>
    <n v="42743"/>
    <n v="150169"/>
    <x v="0"/>
    <n v="0.13410224480418728"/>
  </r>
  <r>
    <s v="A169"/>
    <x v="0"/>
    <d v="2024-12-03T00:00:00"/>
    <x v="0"/>
    <x v="5"/>
    <n v="2055"/>
    <n v="675"/>
    <n v="257"/>
    <n v="820"/>
    <n v="33534"/>
    <n v="48125"/>
    <x v="0"/>
    <n v="6.2067532467532466E-2"/>
  </r>
  <r>
    <s v="A170"/>
    <x v="3"/>
    <d v="2025-04-28T00:00:00"/>
    <x v="3"/>
    <x v="9"/>
    <n v="15013"/>
    <n v="1286"/>
    <n v="599"/>
    <n v="2001"/>
    <n v="67839"/>
    <n v="76059"/>
    <x v="0"/>
    <n v="0.22216963147030594"/>
  </r>
  <r>
    <s v="A171"/>
    <x v="1"/>
    <d v="2024-12-31T00:00:00"/>
    <x v="0"/>
    <x v="0"/>
    <n v="10717"/>
    <n v="760"/>
    <n v="460"/>
    <n v="1316"/>
    <n v="18164"/>
    <n v="240641"/>
    <x v="4"/>
    <n v="4.9605013277039242E-2"/>
  </r>
  <r>
    <s v="A172"/>
    <x v="2"/>
    <d v="2024-08-14T00:00:00"/>
    <x v="3"/>
    <x v="11"/>
    <n v="10150"/>
    <n v="526"/>
    <n v="888"/>
    <n v="1313"/>
    <n v="51605"/>
    <n v="143409"/>
    <x v="0"/>
    <n v="8.0636501195880311E-2"/>
  </r>
  <r>
    <s v="A173"/>
    <x v="0"/>
    <d v="2024-12-05T00:00:00"/>
    <x v="1"/>
    <x v="8"/>
    <n v="4125"/>
    <n v="1364"/>
    <n v="319"/>
    <n v="2848"/>
    <n v="15379"/>
    <n v="188159"/>
    <x v="4"/>
    <n v="3.0867510988047343E-2"/>
  </r>
  <r>
    <s v="A174"/>
    <x v="1"/>
    <d v="2024-06-22T00:00:00"/>
    <x v="3"/>
    <x v="0"/>
    <n v="13479"/>
    <n v="1189"/>
    <n v="695"/>
    <n v="416"/>
    <n v="30229"/>
    <n v="45704"/>
    <x v="0"/>
    <n v="0.33614125678277612"/>
  </r>
  <r>
    <s v="A175"/>
    <x v="1"/>
    <d v="2025-10-08T00:00:00"/>
    <x v="1"/>
    <x v="8"/>
    <n v="17745"/>
    <n v="414"/>
    <n v="563"/>
    <n v="2733"/>
    <n v="995"/>
    <n v="231648"/>
    <x v="1"/>
    <n v="8.0820900676889074E-2"/>
  </r>
  <r>
    <s v="A176"/>
    <x v="3"/>
    <d v="2025-10-09T00:00:00"/>
    <x v="3"/>
    <x v="2"/>
    <n v="18748"/>
    <n v="634"/>
    <n v="400"/>
    <n v="1667"/>
    <n v="75813"/>
    <n v="244456"/>
    <x v="1"/>
    <n v="8.0922538207284747E-2"/>
  </r>
  <r>
    <s v="A177"/>
    <x v="0"/>
    <d v="2024-07-10T00:00:00"/>
    <x v="0"/>
    <x v="9"/>
    <n v="8809"/>
    <n v="1151"/>
    <n v="908"/>
    <n v="883"/>
    <n v="42921"/>
    <n v="151279"/>
    <x v="4"/>
    <n v="7.1840771025720687E-2"/>
  </r>
  <r>
    <s v="A178"/>
    <x v="0"/>
    <d v="2025-10-10T00:00:00"/>
    <x v="3"/>
    <x v="2"/>
    <n v="6621"/>
    <n v="922"/>
    <n v="930"/>
    <n v="694"/>
    <n v="839"/>
    <n v="243532"/>
    <x v="1"/>
    <n v="3.479214230573395E-2"/>
  </r>
  <r>
    <s v="A179"/>
    <x v="2"/>
    <d v="2024-07-15T00:00:00"/>
    <x v="0"/>
    <x v="8"/>
    <n v="17034"/>
    <n v="231"/>
    <n v="290"/>
    <n v="1387"/>
    <n v="63550"/>
    <n v="198280"/>
    <x v="4"/>
    <n v="8.8536413153116805E-2"/>
  </r>
  <r>
    <s v="A180"/>
    <x v="0"/>
    <d v="2025-10-11T00:00:00"/>
    <x v="3"/>
    <x v="6"/>
    <n v="15623"/>
    <n v="869"/>
    <n v="423"/>
    <n v="371"/>
    <n v="47579"/>
    <n v="158516"/>
    <x v="1"/>
    <n v="0.10670847106916652"/>
  </r>
  <r>
    <s v="A181"/>
    <x v="2"/>
    <d v="2025-10-12T00:00:00"/>
    <x v="3"/>
    <x v="6"/>
    <n v="7126"/>
    <n v="484"/>
    <n v="565"/>
    <n v="573"/>
    <n v="7389"/>
    <n v="237096"/>
    <x v="1"/>
    <n v="3.4479704423524646E-2"/>
  </r>
  <r>
    <s v="A182"/>
    <x v="0"/>
    <d v="2024-07-31T00:00:00"/>
    <x v="2"/>
    <x v="2"/>
    <n v="7122"/>
    <n v="628"/>
    <n v="757"/>
    <n v="2313"/>
    <n v="50924"/>
    <n v="210954"/>
    <x v="4"/>
    <n v="4.0326327066564277E-2"/>
  </r>
  <r>
    <s v="A183"/>
    <x v="3"/>
    <d v="2024-12-17T00:00:00"/>
    <x v="0"/>
    <x v="6"/>
    <n v="20030"/>
    <n v="485"/>
    <n v="888"/>
    <n v="1643"/>
    <n v="4322"/>
    <n v="196995"/>
    <x v="2"/>
    <n v="0.10864742759968526"/>
  </r>
  <r>
    <s v="A184"/>
    <x v="0"/>
    <d v="2025-10-13T00:00:00"/>
    <x v="2"/>
    <x v="8"/>
    <n v="19302"/>
    <n v="1367"/>
    <n v="188"/>
    <n v="637"/>
    <n v="31404"/>
    <n v="154044"/>
    <x v="1"/>
    <n v="0.13539638025499209"/>
  </r>
  <r>
    <s v="A185"/>
    <x v="2"/>
    <d v="2025-01-11T00:00:00"/>
    <x v="0"/>
    <x v="1"/>
    <n v="21181"/>
    <n v="1242"/>
    <n v="963"/>
    <n v="1689"/>
    <n v="49329"/>
    <n v="69165"/>
    <x v="0"/>
    <n v="0.33811899081905589"/>
  </r>
  <r>
    <s v="A186"/>
    <x v="2"/>
    <d v="2024-08-24T00:00:00"/>
    <x v="2"/>
    <x v="2"/>
    <n v="24890"/>
    <n v="217"/>
    <n v="178"/>
    <n v="906"/>
    <n v="54826"/>
    <n v="107203"/>
    <x v="2"/>
    <n v="0.23586093672751696"/>
  </r>
  <r>
    <s v="A187"/>
    <x v="3"/>
    <d v="2024-12-22T00:00:00"/>
    <x v="1"/>
    <x v="11"/>
    <n v="7870"/>
    <n v="968"/>
    <n v="626"/>
    <n v="465"/>
    <n v="27184"/>
    <n v="44114"/>
    <x v="4"/>
    <n v="0.2145350682323072"/>
  </r>
  <r>
    <s v="A188"/>
    <x v="0"/>
    <d v="2024-06-06T00:00:00"/>
    <x v="3"/>
    <x v="11"/>
    <n v="3531"/>
    <n v="789"/>
    <n v="467"/>
    <n v="1867"/>
    <n v="40816"/>
    <n v="236037"/>
    <x v="2"/>
    <n v="2.0280718700881641E-2"/>
  </r>
  <r>
    <s v="A189"/>
    <x v="0"/>
    <d v="2025-03-24T00:00:00"/>
    <x v="0"/>
    <x v="4"/>
    <n v="10172"/>
    <n v="1398"/>
    <n v="394"/>
    <n v="2358"/>
    <n v="59610"/>
    <n v="76321"/>
    <x v="3"/>
    <n v="0.15675895231980713"/>
  </r>
  <r>
    <s v="A190"/>
    <x v="3"/>
    <d v="2024-10-04T00:00:00"/>
    <x v="0"/>
    <x v="5"/>
    <n v="21729"/>
    <n v="1209"/>
    <n v="897"/>
    <n v="1624"/>
    <n v="38771"/>
    <n v="113297"/>
    <x v="3"/>
    <n v="0.21037626768581694"/>
  </r>
  <r>
    <s v="A191"/>
    <x v="0"/>
    <d v="2025-10-14T00:00:00"/>
    <x v="3"/>
    <x v="9"/>
    <n v="9673"/>
    <n v="393"/>
    <n v="846"/>
    <n v="1028"/>
    <n v="55556"/>
    <n v="136652"/>
    <x v="1"/>
    <n v="7.9852471972601938E-2"/>
  </r>
  <r>
    <s v="A192"/>
    <x v="0"/>
    <d v="2025-10-15T00:00:00"/>
    <x v="0"/>
    <x v="6"/>
    <n v="8882"/>
    <n v="701"/>
    <n v="421"/>
    <n v="2343"/>
    <n v="13588"/>
    <n v="139304"/>
    <x v="1"/>
    <n v="7.1814161833113191E-2"/>
  </r>
  <r>
    <s v="A193"/>
    <x v="2"/>
    <d v="2024-09-11T00:00:00"/>
    <x v="0"/>
    <x v="6"/>
    <n v="3906"/>
    <n v="1187"/>
    <n v="589"/>
    <n v="401"/>
    <n v="52687"/>
    <n v="196498"/>
    <x v="0"/>
    <n v="2.8916324848090057E-2"/>
  </r>
  <r>
    <s v="A194"/>
    <x v="0"/>
    <d v="2024-10-02T00:00:00"/>
    <x v="2"/>
    <x v="5"/>
    <n v="5086"/>
    <n v="1336"/>
    <n v="897"/>
    <n v="1715"/>
    <n v="60592"/>
    <n v="57772"/>
    <x v="2"/>
    <n v="0.12668766876687668"/>
  </r>
  <r>
    <s v="A195"/>
    <x v="0"/>
    <d v="2024-08-15T00:00:00"/>
    <x v="0"/>
    <x v="7"/>
    <n v="15503"/>
    <n v="313"/>
    <n v="388"/>
    <n v="1078"/>
    <n v="11500"/>
    <n v="143754"/>
    <x v="3"/>
    <n v="0.1127203416948398"/>
  </r>
  <r>
    <s v="A196"/>
    <x v="3"/>
    <d v="2025-09-18T00:00:00"/>
    <x v="1"/>
    <x v="10"/>
    <n v="10152"/>
    <n v="1445"/>
    <n v="526"/>
    <n v="513"/>
    <n v="18959"/>
    <n v="43712"/>
    <x v="1"/>
    <n v="0.27733803074670571"/>
  </r>
  <r>
    <s v="A197"/>
    <x v="3"/>
    <d v="2024-10-22T00:00:00"/>
    <x v="1"/>
    <x v="2"/>
    <n v="7750"/>
    <n v="1146"/>
    <n v="415"/>
    <n v="1411"/>
    <n v="85339"/>
    <n v="172439"/>
    <x v="2"/>
    <n v="5.3995905798572247E-2"/>
  </r>
  <r>
    <s v="A198"/>
    <x v="1"/>
    <d v="2025-09-19T00:00:00"/>
    <x v="3"/>
    <x v="3"/>
    <n v="14772"/>
    <n v="1030"/>
    <n v="508"/>
    <n v="1876"/>
    <n v="8882"/>
    <n v="155142"/>
    <x v="1"/>
    <n v="0.10512949426976577"/>
  </r>
  <r>
    <s v="A199"/>
    <x v="2"/>
    <d v="2025-09-20T00:00:00"/>
    <x v="0"/>
    <x v="6"/>
    <n v="12267"/>
    <n v="1487"/>
    <n v="489"/>
    <n v="2748"/>
    <n v="34685"/>
    <n v="131736"/>
    <x v="1"/>
    <n v="0.1081177506528208"/>
  </r>
  <r>
    <s v="A200"/>
    <x v="0"/>
    <d v="2025-04-07T00:00:00"/>
    <x v="3"/>
    <x v="9"/>
    <n v="3062"/>
    <n v="1124"/>
    <n v="538"/>
    <n v="2935"/>
    <n v="69749"/>
    <n v="91924"/>
    <x v="3"/>
    <n v="5.1390278926069365E-2"/>
  </r>
  <r>
    <s v="A201"/>
    <x v="0"/>
    <d v="2025-01-15T00:00:00"/>
    <x v="1"/>
    <x v="4"/>
    <n v="20360"/>
    <n v="254"/>
    <n v="726"/>
    <n v="1995"/>
    <n v="14280"/>
    <n v="43726"/>
    <x v="3"/>
    <n v="0.48803915290673738"/>
  </r>
  <r>
    <s v="A202"/>
    <x v="1"/>
    <d v="2025-09-21T00:00:00"/>
    <x v="0"/>
    <x v="11"/>
    <n v="19680"/>
    <n v="999"/>
    <n v="838"/>
    <n v="891"/>
    <n v="29576"/>
    <n v="129152"/>
    <x v="1"/>
    <n v="0.16660214321110009"/>
  </r>
  <r>
    <s v="A203"/>
    <x v="0"/>
    <d v="2024-11-21T00:00:00"/>
    <x v="0"/>
    <x v="6"/>
    <n v="8229"/>
    <n v="977"/>
    <n v="152"/>
    <n v="1633"/>
    <n v="71447"/>
    <n v="67723"/>
    <x v="4"/>
    <n v="0.13818052950991538"/>
  </r>
  <r>
    <s v="A204"/>
    <x v="2"/>
    <d v="2025-09-22T00:00:00"/>
    <x v="3"/>
    <x v="4"/>
    <n v="18509"/>
    <n v="361"/>
    <n v="578"/>
    <n v="1409"/>
    <n v="10569"/>
    <n v="166969"/>
    <x v="1"/>
    <n v="0.11647671124580011"/>
  </r>
  <r>
    <s v="A205"/>
    <x v="1"/>
    <d v="2025-09-23T00:00:00"/>
    <x v="1"/>
    <x v="8"/>
    <n v="17147"/>
    <n v="286"/>
    <n v="291"/>
    <n v="2439"/>
    <n v="45631"/>
    <n v="140494"/>
    <x v="1"/>
    <n v="0.12615485358805359"/>
  </r>
  <r>
    <s v="A206"/>
    <x v="2"/>
    <d v="2024-06-24T00:00:00"/>
    <x v="0"/>
    <x v="8"/>
    <n v="6632"/>
    <n v="254"/>
    <n v="525"/>
    <n v="1013"/>
    <n v="13838"/>
    <n v="180180"/>
    <x v="0"/>
    <n v="4.1131091131091133E-2"/>
  </r>
  <r>
    <s v="A207"/>
    <x v="1"/>
    <d v="2024-12-29T00:00:00"/>
    <x v="3"/>
    <x v="10"/>
    <n v="8288"/>
    <n v="1401"/>
    <n v="819"/>
    <n v="1235"/>
    <n v="33446"/>
    <n v="248786"/>
    <x v="0"/>
    <n v="4.2237103373984064E-2"/>
  </r>
  <r>
    <s v="A208"/>
    <x v="1"/>
    <d v="2024-06-24T00:00:00"/>
    <x v="1"/>
    <x v="1"/>
    <n v="5596"/>
    <n v="1231"/>
    <n v="473"/>
    <n v="2251"/>
    <n v="43705"/>
    <n v="75643"/>
    <x v="0"/>
    <n v="9.6505955607260427E-2"/>
  </r>
  <r>
    <s v="A209"/>
    <x v="3"/>
    <d v="2025-03-19T00:00:00"/>
    <x v="3"/>
    <x v="3"/>
    <n v="13475"/>
    <n v="1032"/>
    <n v="295"/>
    <n v="541"/>
    <n v="43666"/>
    <n v="202396"/>
    <x v="4"/>
    <n v="7.3133856400324118E-2"/>
  </r>
  <r>
    <s v="A210"/>
    <x v="2"/>
    <d v="2025-02-19T00:00:00"/>
    <x v="2"/>
    <x v="7"/>
    <n v="8168"/>
    <n v="512"/>
    <n v="442"/>
    <n v="2343"/>
    <n v="2753"/>
    <n v="143896"/>
    <x v="4"/>
    <n v="6.3393006059932172E-2"/>
  </r>
  <r>
    <s v="A211"/>
    <x v="0"/>
    <d v="2025-09-24T00:00:00"/>
    <x v="0"/>
    <x v="10"/>
    <n v="11795"/>
    <n v="958"/>
    <n v="814"/>
    <n v="301"/>
    <n v="12564"/>
    <n v="179999"/>
    <x v="1"/>
    <n v="7.5372640959116444E-2"/>
  </r>
  <r>
    <s v="A212"/>
    <x v="0"/>
    <d v="2025-03-03T00:00:00"/>
    <x v="2"/>
    <x v="0"/>
    <n v="9561"/>
    <n v="642"/>
    <n v="581"/>
    <n v="2572"/>
    <n v="38552"/>
    <n v="133680"/>
    <x v="0"/>
    <n v="8.0670257330939563E-2"/>
  </r>
  <r>
    <s v="A213"/>
    <x v="2"/>
    <d v="2025-05-01T00:00:00"/>
    <x v="1"/>
    <x v="7"/>
    <n v="10258"/>
    <n v="527"/>
    <n v="854"/>
    <n v="2068"/>
    <n v="45632"/>
    <n v="136546"/>
    <x v="4"/>
    <n v="8.5238674146441498E-2"/>
  </r>
  <r>
    <s v="A214"/>
    <x v="0"/>
    <d v="2024-12-23T00:00:00"/>
    <x v="2"/>
    <x v="2"/>
    <n v="18616"/>
    <n v="1277"/>
    <n v="734"/>
    <n v="2249"/>
    <n v="3399"/>
    <n v="193515"/>
    <x v="3"/>
    <n v="0.10659122031883833"/>
  </r>
  <r>
    <s v="A215"/>
    <x v="0"/>
    <d v="2025-09-25T00:00:00"/>
    <x v="2"/>
    <x v="9"/>
    <n v="8371"/>
    <n v="960"/>
    <n v="548"/>
    <n v="2936"/>
    <n v="82543"/>
    <n v="119973"/>
    <x v="1"/>
    <n v="8.2343527293641069E-2"/>
  </r>
  <r>
    <s v="A216"/>
    <x v="2"/>
    <d v="2024-07-29T00:00:00"/>
    <x v="1"/>
    <x v="0"/>
    <n v="22590"/>
    <n v="1462"/>
    <n v="966"/>
    <n v="2463"/>
    <n v="29689"/>
    <n v="103449"/>
    <x v="2"/>
    <n v="0.24183897379385011"/>
  </r>
  <r>
    <s v="A217"/>
    <x v="1"/>
    <d v="2025-09-26T00:00:00"/>
    <x v="3"/>
    <x v="0"/>
    <n v="16369"/>
    <n v="1452"/>
    <n v="493"/>
    <n v="1217"/>
    <n v="91440"/>
    <n v="149834"/>
    <x v="1"/>
    <n v="0.12222859965027964"/>
  </r>
  <r>
    <s v="A218"/>
    <x v="2"/>
    <d v="2024-06-11T00:00:00"/>
    <x v="2"/>
    <x v="10"/>
    <n v="14910"/>
    <n v="778"/>
    <n v="289"/>
    <n v="2541"/>
    <n v="14309"/>
    <n v="247815"/>
    <x v="2"/>
    <n v="6.4471480741682297E-2"/>
  </r>
  <r>
    <s v="A219"/>
    <x v="1"/>
    <d v="2025-01-28T00:00:00"/>
    <x v="3"/>
    <x v="5"/>
    <n v="9943"/>
    <n v="1274"/>
    <n v="336"/>
    <n v="389"/>
    <n v="6145"/>
    <n v="231305"/>
    <x v="0"/>
    <n v="4.9947039623008581E-2"/>
  </r>
  <r>
    <s v="A220"/>
    <x v="0"/>
    <d v="2024-06-02T00:00:00"/>
    <x v="2"/>
    <x v="1"/>
    <n v="14199"/>
    <n v="1206"/>
    <n v="954"/>
    <n v="2009"/>
    <n v="8"/>
    <n v="65537"/>
    <x v="2"/>
    <n v="0.24961472145505592"/>
  </r>
  <r>
    <s v="A221"/>
    <x v="0"/>
    <d v="2025-03-23T00:00:00"/>
    <x v="3"/>
    <x v="5"/>
    <n v="17728"/>
    <n v="1487"/>
    <n v="210"/>
    <n v="2469"/>
    <n v="30565"/>
    <n v="117576"/>
    <x v="0"/>
    <n v="0.16521228822208614"/>
  </r>
  <r>
    <s v="A222"/>
    <x v="0"/>
    <d v="2024-10-08T00:00:00"/>
    <x v="1"/>
    <x v="10"/>
    <n v="8738"/>
    <n v="295"/>
    <n v="529"/>
    <n v="442"/>
    <n v="25286"/>
    <n v="147522"/>
    <x v="3"/>
    <n v="6.4817450956467515E-2"/>
  </r>
  <r>
    <s v="A223"/>
    <x v="3"/>
    <d v="2024-11-12T00:00:00"/>
    <x v="2"/>
    <x v="2"/>
    <n v="17913"/>
    <n v="1311"/>
    <n v="859"/>
    <n v="405"/>
    <n v="59842"/>
    <n v="62612"/>
    <x v="2"/>
    <n v="0.32075321024723696"/>
  </r>
  <r>
    <s v="A224"/>
    <x v="1"/>
    <d v="2025-09-07T00:00:00"/>
    <x v="1"/>
    <x v="11"/>
    <n v="4472"/>
    <n v="1301"/>
    <n v="956"/>
    <n v="1186"/>
    <n v="3363"/>
    <n v="46471"/>
    <x v="1"/>
    <n v="0.14479998278496267"/>
  </r>
  <r>
    <s v="A225"/>
    <x v="3"/>
    <d v="2024-06-20T00:00:00"/>
    <x v="2"/>
    <x v="6"/>
    <n v="21123"/>
    <n v="1343"/>
    <n v="589"/>
    <n v="727"/>
    <n v="87833"/>
    <n v="206703"/>
    <x v="0"/>
    <n v="0.11153684271636116"/>
  </r>
  <r>
    <s v="A226"/>
    <x v="3"/>
    <d v="2025-09-08T00:00:00"/>
    <x v="1"/>
    <x v="6"/>
    <n v="23785"/>
    <n v="1013"/>
    <n v="468"/>
    <n v="1628"/>
    <n v="8272"/>
    <n v="71348"/>
    <x v="1"/>
    <n v="0.35412345125301342"/>
  </r>
  <r>
    <s v="A227"/>
    <x v="2"/>
    <d v="2024-06-12T00:00:00"/>
    <x v="1"/>
    <x v="1"/>
    <n v="17679"/>
    <n v="690"/>
    <n v="451"/>
    <n v="2195"/>
    <n v="4390"/>
    <n v="235804"/>
    <x v="4"/>
    <n v="7.9812047293514959E-2"/>
  </r>
  <r>
    <s v="A228"/>
    <x v="3"/>
    <d v="2024-07-01T00:00:00"/>
    <x v="2"/>
    <x v="2"/>
    <n v="3761"/>
    <n v="651"/>
    <n v="493"/>
    <n v="2294"/>
    <n v="71696"/>
    <n v="41177"/>
    <x v="0"/>
    <n v="0.11911989702989532"/>
  </r>
  <r>
    <s v="A229"/>
    <x v="2"/>
    <d v="2024-07-03T00:00:00"/>
    <x v="2"/>
    <x v="1"/>
    <n v="12167"/>
    <n v="364"/>
    <n v="160"/>
    <n v="616"/>
    <n v="42228"/>
    <n v="175832"/>
    <x v="2"/>
    <n v="7.2176850630146963E-2"/>
  </r>
  <r>
    <s v="A230"/>
    <x v="2"/>
    <d v="2024-07-15T00:00:00"/>
    <x v="2"/>
    <x v="4"/>
    <n v="12554"/>
    <n v="381"/>
    <n v="211"/>
    <n v="2286"/>
    <n v="50567"/>
    <n v="72779"/>
    <x v="0"/>
    <n v="0.18062902760411656"/>
  </r>
  <r>
    <s v="A231"/>
    <x v="3"/>
    <d v="2025-09-09T00:00:00"/>
    <x v="0"/>
    <x v="5"/>
    <n v="19260"/>
    <n v="668"/>
    <n v="994"/>
    <n v="934"/>
    <n v="20509"/>
    <n v="61636"/>
    <x v="1"/>
    <n v="0.33944448049841003"/>
  </r>
  <r>
    <s v="A232"/>
    <x v="1"/>
    <d v="2025-04-29T00:00:00"/>
    <x v="3"/>
    <x v="6"/>
    <n v="16277"/>
    <n v="1109"/>
    <n v="375"/>
    <n v="2225"/>
    <n v="1044"/>
    <n v="121889"/>
    <x v="3"/>
    <n v="0.14571454356012437"/>
  </r>
  <r>
    <s v="A233"/>
    <x v="1"/>
    <d v="2025-03-08T00:00:00"/>
    <x v="0"/>
    <x v="0"/>
    <n v="5812"/>
    <n v="934"/>
    <n v="302"/>
    <n v="2356"/>
    <n v="37437"/>
    <n v="93551"/>
    <x v="0"/>
    <n v="7.5338585370546551E-2"/>
  </r>
  <r>
    <s v="A234"/>
    <x v="1"/>
    <d v="2024-06-01T00:00:00"/>
    <x v="0"/>
    <x v="5"/>
    <n v="19844"/>
    <n v="1022"/>
    <n v="860"/>
    <n v="2570"/>
    <n v="23719"/>
    <n v="182628"/>
    <x v="2"/>
    <n v="0.11896313818253498"/>
  </r>
  <r>
    <s v="A235"/>
    <x v="1"/>
    <d v="2024-12-22T00:00:00"/>
    <x v="1"/>
    <x v="3"/>
    <n v="20117"/>
    <n v="1143"/>
    <n v="713"/>
    <n v="1739"/>
    <n v="34444"/>
    <n v="198670"/>
    <x v="4"/>
    <n v="0.11060049328031409"/>
  </r>
  <r>
    <s v="A236"/>
    <x v="1"/>
    <d v="2024-08-19T00:00:00"/>
    <x v="2"/>
    <x v="9"/>
    <n v="3605"/>
    <n v="206"/>
    <n v="921"/>
    <n v="852"/>
    <n v="11660"/>
    <n v="182635"/>
    <x v="3"/>
    <n v="2.590960111698196E-2"/>
  </r>
  <r>
    <s v="A237"/>
    <x v="3"/>
    <d v="2024-10-22T00:00:00"/>
    <x v="3"/>
    <x v="2"/>
    <n v="7622"/>
    <n v="529"/>
    <n v="720"/>
    <n v="1015"/>
    <n v="71322"/>
    <n v="86819"/>
    <x v="4"/>
    <n v="0.10217809465669957"/>
  </r>
  <r>
    <s v="A238"/>
    <x v="3"/>
    <d v="2024-07-16T00:00:00"/>
    <x v="1"/>
    <x v="7"/>
    <n v="8767"/>
    <n v="974"/>
    <n v="733"/>
    <n v="1587"/>
    <n v="74927"/>
    <n v="113770"/>
    <x v="0"/>
    <n v="9.2062933989628198E-2"/>
  </r>
  <r>
    <s v="A239"/>
    <x v="0"/>
    <d v="2025-09-10T00:00:00"/>
    <x v="0"/>
    <x v="1"/>
    <n v="13613"/>
    <n v="350"/>
    <n v="809"/>
    <n v="2013"/>
    <n v="20471"/>
    <n v="198038"/>
    <x v="1"/>
    <n v="7.4591745018632791E-2"/>
  </r>
  <r>
    <s v="A240"/>
    <x v="1"/>
    <d v="2025-09-11T00:00:00"/>
    <x v="2"/>
    <x v="5"/>
    <n v="21901"/>
    <n v="1308"/>
    <n v="724"/>
    <n v="2183"/>
    <n v="15996"/>
    <n v="230961"/>
    <x v="1"/>
    <n v="0.10362355549205277"/>
  </r>
  <r>
    <s v="A241"/>
    <x v="3"/>
    <d v="2025-01-18T00:00:00"/>
    <x v="1"/>
    <x v="9"/>
    <n v="12589"/>
    <n v="346"/>
    <n v="459"/>
    <n v="1407"/>
    <n v="29254"/>
    <n v="198059"/>
    <x v="2"/>
    <n v="6.7626313371268162E-2"/>
  </r>
  <r>
    <s v="A242"/>
    <x v="0"/>
    <d v="2025-09-12T00:00:00"/>
    <x v="2"/>
    <x v="5"/>
    <n v="15918"/>
    <n v="1114"/>
    <n v="392"/>
    <n v="1641"/>
    <n v="28044"/>
    <n v="118714"/>
    <x v="1"/>
    <n v="0.14677291642097814"/>
  </r>
  <r>
    <s v="A243"/>
    <x v="1"/>
    <d v="2025-03-06T00:00:00"/>
    <x v="1"/>
    <x v="7"/>
    <n v="22119"/>
    <n v="899"/>
    <n v="642"/>
    <n v="410"/>
    <n v="49490"/>
    <n v="229420"/>
    <x v="3"/>
    <n v="0.10312963124400662"/>
  </r>
  <r>
    <s v="A244"/>
    <x v="2"/>
    <d v="2025-09-13T00:00:00"/>
    <x v="2"/>
    <x v="9"/>
    <n v="15046"/>
    <n v="281"/>
    <n v="515"/>
    <n v="550"/>
    <n v="22583"/>
    <n v="64596"/>
    <x v="1"/>
    <n v="0.24524738373893121"/>
  </r>
  <r>
    <s v="A245"/>
    <x v="0"/>
    <d v="2025-01-12T00:00:00"/>
    <x v="0"/>
    <x v="3"/>
    <n v="4590"/>
    <n v="713"/>
    <n v="479"/>
    <n v="2730"/>
    <n v="41050"/>
    <n v="204246"/>
    <x v="2"/>
    <n v="2.8308999931455206E-2"/>
  </r>
  <r>
    <s v="A246"/>
    <x v="3"/>
    <d v="2024-10-11T00:00:00"/>
    <x v="3"/>
    <x v="7"/>
    <n v="19447"/>
    <n v="1014"/>
    <n v="256"/>
    <n v="2354"/>
    <n v="5472"/>
    <n v="104106"/>
    <x v="0"/>
    <n v="0.19899909707413599"/>
  </r>
  <r>
    <s v="A247"/>
    <x v="2"/>
    <d v="2024-08-27T00:00:00"/>
    <x v="0"/>
    <x v="10"/>
    <n v="6324"/>
    <n v="908"/>
    <n v="375"/>
    <n v="758"/>
    <n v="34850"/>
    <n v="241039"/>
    <x v="0"/>
    <n v="3.1559208260903839E-2"/>
  </r>
  <r>
    <s v="A248"/>
    <x v="2"/>
    <d v="2025-09-14T00:00:00"/>
    <x v="3"/>
    <x v="8"/>
    <n v="12787"/>
    <n v="945"/>
    <n v="974"/>
    <n v="1407"/>
    <n v="4037"/>
    <n v="99182"/>
    <x v="1"/>
    <n v="0.14827287209372669"/>
  </r>
  <r>
    <s v="A249"/>
    <x v="2"/>
    <d v="2024-07-18T00:00:00"/>
    <x v="2"/>
    <x v="10"/>
    <n v="11111"/>
    <n v="1222"/>
    <n v="367"/>
    <n v="507"/>
    <n v="14129"/>
    <n v="127163"/>
    <x v="4"/>
    <n v="9.9871818060284834E-2"/>
  </r>
  <r>
    <s v="A250"/>
    <x v="0"/>
    <d v="2024-06-22T00:00:00"/>
    <x v="1"/>
    <x v="6"/>
    <n v="7342"/>
    <n v="906"/>
    <n v="902"/>
    <n v="1199"/>
    <n v="68488"/>
    <n v="79310"/>
    <x v="0"/>
    <n v="0.1153700668263775"/>
  </r>
  <r>
    <s v="A251"/>
    <x v="3"/>
    <d v="2025-09-15T00:00:00"/>
    <x v="0"/>
    <x v="5"/>
    <n v="18389"/>
    <n v="670"/>
    <n v="655"/>
    <n v="321"/>
    <n v="21869"/>
    <n v="96088"/>
    <x v="1"/>
    <n v="0.2051660977437349"/>
  </r>
  <r>
    <s v="A252"/>
    <x v="2"/>
    <d v="2025-04-28T00:00:00"/>
    <x v="3"/>
    <x v="8"/>
    <n v="10659"/>
    <n v="1342"/>
    <n v="408"/>
    <n v="709"/>
    <n v="16309"/>
    <n v="168803"/>
    <x v="2"/>
    <n v="7.3511726687321907E-2"/>
  </r>
  <r>
    <s v="A253"/>
    <x v="1"/>
    <d v="2025-09-16T00:00:00"/>
    <x v="0"/>
    <x v="10"/>
    <n v="16043"/>
    <n v="595"/>
    <n v="923"/>
    <n v="1194"/>
    <n v="52613"/>
    <n v="179978"/>
    <x v="1"/>
    <n v="9.757303670448611E-2"/>
  </r>
  <r>
    <s v="A254"/>
    <x v="2"/>
    <d v="2025-01-14T00:00:00"/>
    <x v="3"/>
    <x v="8"/>
    <n v="24350"/>
    <n v="460"/>
    <n v="666"/>
    <n v="814"/>
    <n v="21120"/>
    <n v="76914"/>
    <x v="0"/>
    <n v="0.33122708479600593"/>
  </r>
  <r>
    <s v="A255"/>
    <x v="2"/>
    <d v="2025-04-03T00:00:00"/>
    <x v="0"/>
    <x v="11"/>
    <n v="10837"/>
    <n v="1004"/>
    <n v="922"/>
    <n v="1108"/>
    <n v="36807"/>
    <n v="150350"/>
    <x v="2"/>
    <n v="8.4888593282341204E-2"/>
  </r>
  <r>
    <s v="A256"/>
    <x v="0"/>
    <d v="2025-09-17T00:00:00"/>
    <x v="3"/>
    <x v="5"/>
    <n v="2117"/>
    <n v="1133"/>
    <n v="203"/>
    <n v="1173"/>
    <n v="40125"/>
    <n v="85379"/>
    <x v="1"/>
    <n v="4.0443200318579509E-2"/>
  </r>
  <r>
    <s v="A257"/>
    <x v="0"/>
    <d v="2025-04-06T00:00:00"/>
    <x v="3"/>
    <x v="8"/>
    <n v="15917"/>
    <n v="1479"/>
    <n v="196"/>
    <n v="313"/>
    <n v="48524"/>
    <n v="249684"/>
    <x v="3"/>
    <n v="7.0457057720959296E-2"/>
  </r>
  <r>
    <s v="A258"/>
    <x v="3"/>
    <d v="2024-08-05T00:00:00"/>
    <x v="2"/>
    <x v="0"/>
    <n v="20935"/>
    <n v="1104"/>
    <n v="876"/>
    <n v="1270"/>
    <n v="21454"/>
    <n v="208722"/>
    <x v="2"/>
    <n v="0.10978718103506099"/>
  </r>
  <r>
    <s v="A259"/>
    <x v="1"/>
    <d v="2025-02-10T00:00:00"/>
    <x v="3"/>
    <x v="1"/>
    <n v="16309"/>
    <n v="1449"/>
    <n v="838"/>
    <n v="2434"/>
    <n v="2940"/>
    <n v="217953"/>
    <x v="3"/>
    <n v="8.5321147219813445E-2"/>
  </r>
  <r>
    <s v="A260"/>
    <x v="0"/>
    <d v="2025-02-12T00:00:00"/>
    <x v="2"/>
    <x v="1"/>
    <n v="15234"/>
    <n v="1276"/>
    <n v="670"/>
    <n v="1860"/>
    <n v="60397"/>
    <n v="86413"/>
    <x v="4"/>
    <n v="0.19881267864788862"/>
  </r>
  <r>
    <s v="A261"/>
    <x v="2"/>
    <d v="2024-10-27T00:00:00"/>
    <x v="3"/>
    <x v="0"/>
    <n v="7560"/>
    <n v="1139"/>
    <n v="248"/>
    <n v="1624"/>
    <n v="72237"/>
    <n v="177084"/>
    <x v="2"/>
    <n v="5.0524045085947912E-2"/>
  </r>
  <r>
    <s v="A262"/>
    <x v="3"/>
    <d v="2025-01-18T00:00:00"/>
    <x v="1"/>
    <x v="9"/>
    <n v="22673"/>
    <n v="1053"/>
    <n v="169"/>
    <n v="1566"/>
    <n v="9417"/>
    <n v="221187"/>
    <x v="3"/>
    <n v="0.10803076130152314"/>
  </r>
  <r>
    <s v="A263"/>
    <x v="2"/>
    <d v="2024-08-20T00:00:00"/>
    <x v="1"/>
    <x v="4"/>
    <n v="2846"/>
    <n v="792"/>
    <n v="902"/>
    <n v="2469"/>
    <n v="12130"/>
    <n v="47151"/>
    <x v="0"/>
    <n v="9.6286399015927546E-2"/>
  </r>
  <r>
    <s v="A264"/>
    <x v="2"/>
    <d v="2025-01-30T00:00:00"/>
    <x v="1"/>
    <x v="9"/>
    <n v="12954"/>
    <n v="913"/>
    <n v="722"/>
    <n v="1049"/>
    <n v="475"/>
    <n v="97716"/>
    <x v="0"/>
    <n v="0.14930001228048631"/>
  </r>
  <r>
    <s v="A265"/>
    <x v="0"/>
    <d v="2025-02-20T00:00:00"/>
    <x v="3"/>
    <x v="7"/>
    <n v="15703"/>
    <n v="1381"/>
    <n v="639"/>
    <n v="984"/>
    <n v="10967"/>
    <n v="133747"/>
    <x v="4"/>
    <n v="0.13251138343289942"/>
  </r>
  <r>
    <s v="A266"/>
    <x v="3"/>
    <d v="2024-11-25T00:00:00"/>
    <x v="2"/>
    <x v="7"/>
    <n v="17385"/>
    <n v="831"/>
    <n v="568"/>
    <n v="2227"/>
    <n v="49351"/>
    <n v="207450"/>
    <x v="2"/>
    <n v="9.0547119787900698E-2"/>
  </r>
  <r>
    <s v="A267"/>
    <x v="1"/>
    <d v="2024-10-04T00:00:00"/>
    <x v="2"/>
    <x v="8"/>
    <n v="15746"/>
    <n v="258"/>
    <n v="839"/>
    <n v="2656"/>
    <n v="66614"/>
    <n v="213724"/>
    <x v="2"/>
    <n v="7.8807246729426739E-2"/>
  </r>
  <r>
    <s v="A268"/>
    <x v="1"/>
    <d v="2025-04-13T00:00:00"/>
    <x v="3"/>
    <x v="10"/>
    <n v="24700"/>
    <n v="327"/>
    <n v="999"/>
    <n v="994"/>
    <n v="59400"/>
    <n v="243502"/>
    <x v="2"/>
    <n v="0.10688207899729776"/>
  </r>
  <r>
    <s v="A269"/>
    <x v="0"/>
    <d v="2024-11-05T00:00:00"/>
    <x v="1"/>
    <x v="10"/>
    <n v="8469"/>
    <n v="935"/>
    <n v="211"/>
    <n v="2635"/>
    <n v="21890"/>
    <n v="184539"/>
    <x v="4"/>
    <n v="5.2102807536618279E-2"/>
  </r>
  <r>
    <s v="A270"/>
    <x v="0"/>
    <d v="2025-01-15T00:00:00"/>
    <x v="1"/>
    <x v="1"/>
    <n v="11333"/>
    <n v="920"/>
    <n v="294"/>
    <n v="606"/>
    <n v="59490"/>
    <n v="202082"/>
    <x v="2"/>
    <n v="6.2088657079799291E-2"/>
  </r>
  <r>
    <s v="A271"/>
    <x v="3"/>
    <d v="2024-10-17T00:00:00"/>
    <x v="2"/>
    <x v="2"/>
    <n v="18608"/>
    <n v="1338"/>
    <n v="365"/>
    <n v="2289"/>
    <n v="20785"/>
    <n v="161999"/>
    <x v="0"/>
    <n v="0.12537731714393299"/>
  </r>
  <r>
    <s v="A272"/>
    <x v="1"/>
    <d v="2025-03-27T00:00:00"/>
    <x v="1"/>
    <x v="9"/>
    <n v="14819"/>
    <n v="1432"/>
    <n v="152"/>
    <n v="961"/>
    <n v="39154"/>
    <n v="154793"/>
    <x v="3"/>
    <n v="0.10596732410380315"/>
  </r>
  <r>
    <s v="A273"/>
    <x v="1"/>
    <d v="2024-10-12T00:00:00"/>
    <x v="0"/>
    <x v="11"/>
    <n v="6208"/>
    <n v="725"/>
    <n v="309"/>
    <n v="848"/>
    <n v="39319"/>
    <n v="225763"/>
    <x v="0"/>
    <n v="3.207788698768177E-2"/>
  </r>
  <r>
    <s v="A274"/>
    <x v="1"/>
    <d v="2025-01-01T00:00:00"/>
    <x v="2"/>
    <x v="5"/>
    <n v="8283"/>
    <n v="720"/>
    <n v="888"/>
    <n v="611"/>
    <n v="52791"/>
    <n v="235229"/>
    <x v="0"/>
    <n v="4.2048386891072105E-2"/>
  </r>
  <r>
    <s v="A275"/>
    <x v="2"/>
    <d v="2024-08-05T00:00:00"/>
    <x v="1"/>
    <x v="6"/>
    <n v="4048"/>
    <n v="751"/>
    <n v="930"/>
    <n v="1382"/>
    <n v="16844"/>
    <n v="148177"/>
    <x v="3"/>
    <n v="3.8663220337839206E-2"/>
  </r>
  <r>
    <s v="A276"/>
    <x v="1"/>
    <d v="2024-06-07T00:00:00"/>
    <x v="2"/>
    <x v="3"/>
    <n v="8233"/>
    <n v="436"/>
    <n v="269"/>
    <n v="2037"/>
    <n v="8875"/>
    <n v="52289"/>
    <x v="0"/>
    <n v="0.17093461339861157"/>
  </r>
  <r>
    <s v="A277"/>
    <x v="2"/>
    <d v="2025-04-06T00:00:00"/>
    <x v="0"/>
    <x v="10"/>
    <n v="14941"/>
    <n v="1424"/>
    <n v="238"/>
    <n v="1054"/>
    <n v="20516"/>
    <n v="216048"/>
    <x v="4"/>
    <n v="7.6848663260016298E-2"/>
  </r>
  <r>
    <s v="A278"/>
    <x v="3"/>
    <d v="2024-11-26T00:00:00"/>
    <x v="2"/>
    <x v="5"/>
    <n v="14607"/>
    <n v="1458"/>
    <n v="478"/>
    <n v="334"/>
    <n v="49257"/>
    <n v="214668"/>
    <x v="3"/>
    <n v="7.7063185942944451E-2"/>
  </r>
  <r>
    <s v="A279"/>
    <x v="2"/>
    <d v="2024-09-02T00:00:00"/>
    <x v="2"/>
    <x v="3"/>
    <n v="11765"/>
    <n v="693"/>
    <n v="729"/>
    <n v="744"/>
    <n v="97772"/>
    <n v="194243"/>
    <x v="0"/>
    <n v="6.7889190344053579E-2"/>
  </r>
  <r>
    <s v="A280"/>
    <x v="3"/>
    <d v="2025-09-18T00:00:00"/>
    <x v="2"/>
    <x v="5"/>
    <n v="3828"/>
    <n v="203"/>
    <n v="506"/>
    <n v="2440"/>
    <n v="63650"/>
    <n v="126365"/>
    <x v="1"/>
    <n v="3.5903929094290347E-2"/>
  </r>
  <r>
    <s v="A281"/>
    <x v="1"/>
    <d v="2025-03-22T00:00:00"/>
    <x v="2"/>
    <x v="8"/>
    <n v="3917"/>
    <n v="865"/>
    <n v="759"/>
    <n v="2282"/>
    <n v="56125"/>
    <n v="154014"/>
    <x v="0"/>
    <n v="3.5977248821535704E-2"/>
  </r>
  <r>
    <s v="A282"/>
    <x v="1"/>
    <d v="2024-10-03T00:00:00"/>
    <x v="0"/>
    <x v="3"/>
    <n v="22618"/>
    <n v="641"/>
    <n v="416"/>
    <n v="1530"/>
    <n v="18395"/>
    <n v="215211"/>
    <x v="4"/>
    <n v="0.1100083174187193"/>
  </r>
  <r>
    <s v="A283"/>
    <x v="3"/>
    <d v="2025-05-09T00:00:00"/>
    <x v="3"/>
    <x v="6"/>
    <n v="8988"/>
    <n v="228"/>
    <n v="766"/>
    <n v="652"/>
    <n v="63789"/>
    <n v="219785"/>
    <x v="2"/>
    <n v="4.541711217781013E-2"/>
  </r>
  <r>
    <s v="A284"/>
    <x v="0"/>
    <d v="2024-09-17T00:00:00"/>
    <x v="2"/>
    <x v="5"/>
    <n v="20410"/>
    <n v="1332"/>
    <n v="472"/>
    <n v="1202"/>
    <n v="9418"/>
    <n v="200806"/>
    <x v="0"/>
    <n v="0.11062418453631864"/>
  </r>
  <r>
    <s v="A285"/>
    <x v="3"/>
    <d v="2024-07-18T00:00:00"/>
    <x v="2"/>
    <x v="0"/>
    <n v="16594"/>
    <n v="809"/>
    <n v="784"/>
    <n v="1655"/>
    <n v="35505"/>
    <n v="112588"/>
    <x v="2"/>
    <n v="0.16153586527871533"/>
  </r>
  <r>
    <s v="A286"/>
    <x v="0"/>
    <d v="2025-09-19T00:00:00"/>
    <x v="1"/>
    <x v="6"/>
    <n v="22128"/>
    <n v="1004"/>
    <n v="690"/>
    <n v="2048"/>
    <n v="19443"/>
    <n v="103646"/>
    <x v="1"/>
    <n v="0.22984003241803833"/>
  </r>
  <r>
    <s v="A287"/>
    <x v="2"/>
    <d v="2024-08-15T00:00:00"/>
    <x v="2"/>
    <x v="3"/>
    <n v="14977"/>
    <n v="274"/>
    <n v="798"/>
    <n v="458"/>
    <n v="6636"/>
    <n v="43654"/>
    <x v="0"/>
    <n v="0.36764099509781462"/>
  </r>
  <r>
    <s v="A288"/>
    <x v="2"/>
    <d v="2025-04-17T00:00:00"/>
    <x v="1"/>
    <x v="6"/>
    <n v="2009"/>
    <n v="1037"/>
    <n v="344"/>
    <n v="2277"/>
    <n v="85743"/>
    <n v="58743"/>
    <x v="3"/>
    <n v="5.7709003625963942E-2"/>
  </r>
  <r>
    <s v="A289"/>
    <x v="2"/>
    <d v="2024-11-28T00:00:00"/>
    <x v="3"/>
    <x v="5"/>
    <n v="18644"/>
    <n v="1369"/>
    <n v="887"/>
    <n v="1256"/>
    <n v="43415"/>
    <n v="88368"/>
    <x v="2"/>
    <n v="0.23651095419156257"/>
  </r>
  <r>
    <s v="A290"/>
    <x v="1"/>
    <d v="2025-09-20T00:00:00"/>
    <x v="0"/>
    <x v="4"/>
    <n v="24422"/>
    <n v="327"/>
    <n v="481"/>
    <n v="2371"/>
    <n v="35340"/>
    <n v="245244"/>
    <x v="1"/>
    <n v="0.10287713460879777"/>
  </r>
  <r>
    <s v="A291"/>
    <x v="2"/>
    <d v="2024-11-06T00:00:00"/>
    <x v="0"/>
    <x v="5"/>
    <n v="11865"/>
    <n v="241"/>
    <n v="319"/>
    <n v="703"/>
    <n v="69596"/>
    <n v="177513"/>
    <x v="3"/>
    <n v="6.999487361489018E-2"/>
  </r>
  <r>
    <s v="A292"/>
    <x v="0"/>
    <d v="2024-11-17T00:00:00"/>
    <x v="3"/>
    <x v="5"/>
    <n v="4219"/>
    <n v="240"/>
    <n v="670"/>
    <n v="815"/>
    <n v="11978"/>
    <n v="159735"/>
    <x v="3"/>
    <n v="3.2109431245500357E-2"/>
  </r>
  <r>
    <s v="A293"/>
    <x v="2"/>
    <d v="2025-05-14T00:00:00"/>
    <x v="0"/>
    <x v="8"/>
    <n v="9041"/>
    <n v="1133"/>
    <n v="612"/>
    <n v="1687"/>
    <n v="28102"/>
    <n v="195683"/>
    <x v="3"/>
    <n v="5.5119760020032396E-2"/>
  </r>
  <r>
    <s v="A294"/>
    <x v="3"/>
    <d v="2024-06-19T00:00:00"/>
    <x v="3"/>
    <x v="9"/>
    <n v="20444"/>
    <n v="233"/>
    <n v="189"/>
    <n v="2879"/>
    <n v="28185"/>
    <n v="159891"/>
    <x v="3"/>
    <n v="0.13050140408153055"/>
  </r>
  <r>
    <s v="A295"/>
    <x v="3"/>
    <d v="2025-05-06T00:00:00"/>
    <x v="3"/>
    <x v="0"/>
    <n v="7287"/>
    <n v="1240"/>
    <n v="686"/>
    <n v="1255"/>
    <n v="15403"/>
    <n v="147971"/>
    <x v="0"/>
    <n v="6.2262200025680704E-2"/>
  </r>
  <r>
    <s v="A296"/>
    <x v="1"/>
    <d v="2025-02-11T00:00:00"/>
    <x v="3"/>
    <x v="11"/>
    <n v="3619"/>
    <n v="1376"/>
    <n v="410"/>
    <n v="2499"/>
    <n v="58146"/>
    <n v="52149"/>
    <x v="0"/>
    <n v="0.10364532397553165"/>
  </r>
  <r>
    <s v="A297"/>
    <x v="3"/>
    <d v="2024-12-24T00:00:00"/>
    <x v="0"/>
    <x v="10"/>
    <n v="10512"/>
    <n v="1197"/>
    <n v="544"/>
    <n v="2012"/>
    <n v="10245"/>
    <n v="140102"/>
    <x v="0"/>
    <n v="8.745770938316369E-2"/>
  </r>
  <r>
    <s v="A298"/>
    <x v="0"/>
    <d v="2025-09-24T00:00:00"/>
    <x v="1"/>
    <x v="7"/>
    <n v="3342"/>
    <n v="787"/>
    <n v="375"/>
    <n v="907"/>
    <n v="85823"/>
    <n v="99189"/>
    <x v="1"/>
    <n v="4.5408260996683103E-2"/>
  </r>
  <r>
    <s v="A299"/>
    <x v="2"/>
    <d v="2025-09-25T00:00:00"/>
    <x v="3"/>
    <x v="9"/>
    <n v="12568"/>
    <n v="541"/>
    <n v="273"/>
    <n v="2767"/>
    <n v="22331"/>
    <n v="192747"/>
    <x v="1"/>
    <n v="6.9427799135654514E-2"/>
  </r>
  <r>
    <s v="A300"/>
    <x v="1"/>
    <d v="2025-09-26T00:00:00"/>
    <x v="2"/>
    <x v="7"/>
    <n v="21216"/>
    <n v="226"/>
    <n v="187"/>
    <n v="1573"/>
    <n v="62688"/>
    <n v="111031"/>
    <x v="1"/>
    <n v="0.194801451846781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7754F-213B-4182-B606-22AE0B8EC90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" colHeaderCaption="Campaign" fieldListSortAscending="1">
  <location ref="A1:G7" firstHeaderRow="1" firstDataRow="2" firstDataCol="1"/>
  <pivotFields count="13">
    <pivotField showAll="0"/>
    <pivotField axis="axisRow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4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ascending">
      <items count="6">
        <item x="1"/>
        <item x="0"/>
        <item x="3"/>
        <item x="4"/>
        <item x="2"/>
        <item t="default"/>
      </items>
    </pivotField>
    <pivotField dataField="1" showAll="0"/>
  </pivotFields>
  <rowFields count="1">
    <field x="1"/>
  </rowFields>
  <rowItems count="5">
    <i>
      <x v="2"/>
    </i>
    <i>
      <x/>
    </i>
    <i>
      <x v="3"/>
    </i>
    <i>
      <x v="1"/>
    </i>
    <i t="grand">
      <x/>
    </i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Engagement Rate" fld="12" subtotal="average" baseField="1" baseItem="0"/>
  </dataFields>
  <formats count="26">
    <format dxfId="67">
      <pivotArea field="11" type="button" dataOnly="0" labelOnly="1" outline="0" axis="axisCol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type="origin" dataOnly="0" labelOnly="1" outline="0" fieldPosition="0"/>
    </format>
    <format dxfId="63">
      <pivotArea field="11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1" type="button" dataOnly="0" labelOnly="1" outline="0" axis="axisRow" fieldPosition="0"/>
    </format>
    <format dxfId="60">
      <pivotArea dataOnly="0" labelOnly="1" fieldPosition="0">
        <references count="1">
          <reference field="1" count="0"/>
        </references>
      </pivotArea>
    </format>
    <format dxfId="59">
      <pivotArea dataOnly="0" labelOnly="1" grandRow="1" outline="0" fieldPosition="0"/>
    </format>
    <format dxfId="58">
      <pivotArea dataOnly="0" labelOnly="1" fieldPosition="0">
        <references count="1">
          <reference field="11" count="0"/>
        </references>
      </pivotArea>
    </format>
    <format dxfId="57">
      <pivotArea dataOnly="0" labelOnly="1" grandCol="1" outline="0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type="origin" dataOnly="0" labelOnly="1" outline="0" fieldPosition="0"/>
    </format>
    <format dxfId="53">
      <pivotArea field="11" type="button" dataOnly="0" labelOnly="1" outline="0" axis="axisCol" fieldPosition="0"/>
    </format>
    <format dxfId="52">
      <pivotArea type="topRight" dataOnly="0" labelOnly="1" outline="0" fieldPosition="0"/>
    </format>
    <format dxfId="51">
      <pivotArea field="1" type="button" dataOnly="0" labelOnly="1" outline="0" axis="axisRow" fieldPosition="0"/>
    </format>
    <format dxfId="50">
      <pivotArea dataOnly="0" labelOnly="1" fieldPosition="0">
        <references count="1">
          <reference field="1" count="0"/>
        </references>
      </pivotArea>
    </format>
    <format dxfId="49">
      <pivotArea dataOnly="0" labelOnly="1" grandRow="1" outline="0" fieldPosition="0"/>
    </format>
    <format dxfId="48">
      <pivotArea dataOnly="0" labelOnly="1" fieldPosition="0">
        <references count="1">
          <reference field="11" count="0"/>
        </references>
      </pivotArea>
    </format>
    <format dxfId="47">
      <pivotArea dataOnly="0" labelOnly="1" grandCol="1" outline="0" fieldPosition="0"/>
    </format>
    <format dxfId="46">
      <pivotArea field="11" type="button" dataOnly="0" labelOnly="1" outline="0" axis="axisCol" fieldPosition="0"/>
    </format>
    <format dxfId="45">
      <pivotArea field="1" type="button" dataOnly="0" labelOnly="1" outline="0" axis="axisRow" fieldPosition="0"/>
    </format>
    <format dxfId="44">
      <pivotArea dataOnly="0" labelOnly="1" fieldPosition="0">
        <references count="1">
          <reference field="11" count="0"/>
        </references>
      </pivotArea>
    </format>
    <format dxfId="43">
      <pivotArea dataOnly="0" labelOnly="1" grandCol="1" outline="0" fieldPosition="0"/>
    </format>
    <format dxfId="42">
      <pivotArea dataOnly="0" labelOnly="1" fieldPosition="0">
        <references count="1">
          <reference field="1" count="0"/>
        </references>
      </pivotArea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6AABA-8BAE-4CEC-9C78-F231B2476A2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latform" fieldListSortAscending="1">
  <location ref="A1:B6" firstHeaderRow="1" firstDataRow="1" firstDataCol="1"/>
  <pivotFields count="9">
    <pivotField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Sum of Net_Followers" fld="7" baseField="0" baseItem="0"/>
  </dataFields>
  <formats count="12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" type="button" dataOnly="0" labelOnly="1" outline="0" axis="axisRow" fieldPosition="0"/>
    </format>
    <format dxfId="38">
      <pivotArea dataOnly="0" labelOnly="1" fieldPosition="0">
        <references count="1">
          <reference field="1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34DC68-F2BF-4502-8BFD-5CD238FF41C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8" rowHeaderCaption="Platform" fieldListSortAscending="1">
  <location ref="A1:C5" firstHeaderRow="0" firstDataRow="1" firstDataCol="1"/>
  <pivotFields count="9">
    <pivotField showAll="0"/>
    <pivotField axis="axisRow" showAll="0" sortType="descending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Average of Engagement_Rate" fld="5" subtotal="average" baseField="1" baseItem="0"/>
    <dataField name="Sum of Ad_Spend in Lakhs" fld="8" baseField="0" baseItem="0"/>
  </dataFields>
  <formats count="14">
    <format dxfId="29">
      <pivotArea outline="0" collapsedLevelsAreSubtotals="1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dataOnly="0" labelOnly="1" fieldPosition="0">
        <references count="1">
          <reference field="1" count="0"/>
        </references>
      </pivotArea>
    </format>
  </formats>
  <chartFormats count="2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F22D8-1D49-4853-A892-C70F8C677F1A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latform" fieldListSortAscending="1">
  <location ref="A1:D5" firstHeaderRow="0" firstDataRow="1" firstDataCol="1"/>
  <pivotFields count="9">
    <pivotField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dataField="1" showAll="0"/>
    <pivotField dataField="1" showAll="0"/>
  </pivotFields>
  <rowFields count="1">
    <field x="1"/>
  </rowFields>
  <rowItems count="4">
    <i>
      <x v="3"/>
    </i>
    <i>
      <x v="2"/>
    </i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Engagement_Rate" fld="5" subtotal="average" baseField="1" baseItem="0"/>
    <dataField name="Sum of Net_Followers" fld="7" baseField="0" baseItem="0" numFmtId="1"/>
    <dataField name="Sum of Ad_Spend(in Lakhs)" fld="8" baseField="1" baseItem="3"/>
  </dataFields>
  <formats count="16">
    <format dxfId="15">
      <pivotArea outline="0" collapsedLevelsAreSubtotals="1" fieldPosition="0"/>
    </format>
    <format dxfId="14">
      <pivotArea dataOnly="0" labelOnly="1" grandRow="1" outline="0" fieldPosition="0"/>
    </format>
    <format dxfId="13">
      <pivotArea field="1" type="button" dataOnly="0" labelOnly="1" outline="0" axis="axisRow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outline="0" collapsedLevelsAreSubtotals="1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0E837-D77D-4F73-B929-2880FE394E20}">
  <dimension ref="A1:G10"/>
  <sheetViews>
    <sheetView workbookViewId="0">
      <selection activeCell="C14" sqref="C14"/>
    </sheetView>
  </sheetViews>
  <sheetFormatPr defaultRowHeight="14.4" x14ac:dyDescent="0.3"/>
  <cols>
    <col min="1" max="1" width="25.77734375" bestFit="1" customWidth="1"/>
    <col min="2" max="2" width="25.6640625" bestFit="1" customWidth="1"/>
    <col min="3" max="3" width="24.6640625" bestFit="1" customWidth="1"/>
    <col min="4" max="4" width="16" bestFit="1" customWidth="1"/>
    <col min="5" max="5" width="24.21875" bestFit="1" customWidth="1"/>
    <col min="6" max="6" width="26.88671875" bestFit="1" customWidth="1"/>
    <col min="7" max="7" width="12" bestFit="1" customWidth="1"/>
  </cols>
  <sheetData>
    <row r="1" spans="1:7" ht="15" thickBot="1" x14ac:dyDescent="0.35">
      <c r="A1" s="8" t="s">
        <v>14</v>
      </c>
      <c r="B1" s="10" t="s">
        <v>15</v>
      </c>
      <c r="C1" s="5"/>
      <c r="D1" s="5"/>
      <c r="E1" s="5"/>
      <c r="F1" s="5"/>
      <c r="G1" s="5"/>
    </row>
    <row r="2" spans="1:7" ht="15" thickBot="1" x14ac:dyDescent="0.35">
      <c r="A2" s="10" t="s">
        <v>5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4</v>
      </c>
    </row>
    <row r="3" spans="1:7" ht="15" thickBot="1" x14ac:dyDescent="0.35">
      <c r="A3" s="6" t="s">
        <v>2</v>
      </c>
      <c r="B3" s="5">
        <v>0.14856462389631164</v>
      </c>
      <c r="C3" s="5">
        <v>0.14307309794424536</v>
      </c>
      <c r="D3" s="5">
        <v>0.13526760440979538</v>
      </c>
      <c r="E3" s="5">
        <v>0.14429364934468705</v>
      </c>
      <c r="F3" s="5">
        <v>0.1271869444053508</v>
      </c>
      <c r="G3" s="5">
        <v>0.13887772583296512</v>
      </c>
    </row>
    <row r="4" spans="1:7" ht="15" thickBot="1" x14ac:dyDescent="0.35">
      <c r="A4" s="6" t="s">
        <v>0</v>
      </c>
      <c r="B4" s="5">
        <v>0.13193785434850408</v>
      </c>
      <c r="C4" s="5">
        <v>0.1367993410290253</v>
      </c>
      <c r="D4" s="5">
        <v>9.6402731063359989E-2</v>
      </c>
      <c r="E4" s="5">
        <v>9.5602169814834673E-2</v>
      </c>
      <c r="F4" s="5">
        <v>0.11414924007707968</v>
      </c>
      <c r="G4" s="5">
        <v>0.11777135601638941</v>
      </c>
    </row>
    <row r="5" spans="1:7" ht="15" thickBot="1" x14ac:dyDescent="0.35">
      <c r="A5" s="6" t="s">
        <v>3</v>
      </c>
      <c r="B5" s="5">
        <v>0.10380076283527789</v>
      </c>
      <c r="C5" s="5">
        <v>0.1197374769780114</v>
      </c>
      <c r="D5" s="5">
        <v>0.11995588178006254</v>
      </c>
      <c r="E5" s="5">
        <v>0.11559352954993427</v>
      </c>
      <c r="F5" s="5">
        <v>0.10497763485843797</v>
      </c>
      <c r="G5" s="5">
        <v>0.11218828039990528</v>
      </c>
    </row>
    <row r="6" spans="1:7" ht="15" thickBot="1" x14ac:dyDescent="0.35">
      <c r="A6" s="6" t="s">
        <v>1</v>
      </c>
      <c r="B6" s="5">
        <v>0.11210848008990078</v>
      </c>
      <c r="C6" s="5">
        <v>0.14411910434722347</v>
      </c>
      <c r="D6" s="5">
        <v>0.12843164970490339</v>
      </c>
      <c r="E6" s="5">
        <v>0.12478605127228286</v>
      </c>
      <c r="F6" s="5">
        <v>0.10208449749241448</v>
      </c>
      <c r="G6" s="5">
        <v>0.12413746843755118</v>
      </c>
    </row>
    <row r="7" spans="1:7" ht="15" thickBot="1" x14ac:dyDescent="0.35">
      <c r="A7" s="5" t="s">
        <v>4</v>
      </c>
      <c r="B7" s="5">
        <v>0.12042552997462418</v>
      </c>
      <c r="C7" s="5">
        <v>0.13683820377947528</v>
      </c>
      <c r="D7" s="5">
        <v>0.12196384626120532</v>
      </c>
      <c r="E7" s="5">
        <v>0.11861255274661907</v>
      </c>
      <c r="F7" s="5">
        <v>0.11314309212807622</v>
      </c>
      <c r="G7" s="5">
        <v>0.12284132745362934</v>
      </c>
    </row>
    <row r="10" spans="1:7" x14ac:dyDescent="0.3">
      <c r="B10" s="11" t="s">
        <v>20</v>
      </c>
      <c r="C10" s="11"/>
      <c r="D10" s="11"/>
      <c r="E10" s="11"/>
      <c r="F1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EFC6-9702-45CB-A353-F69BA991B7FD}">
  <dimension ref="A1:I6"/>
  <sheetViews>
    <sheetView workbookViewId="0">
      <selection activeCell="C6" sqref="C6"/>
    </sheetView>
  </sheetViews>
  <sheetFormatPr defaultRowHeight="14.4" x14ac:dyDescent="0.3"/>
  <cols>
    <col min="1" max="1" width="12.77734375" bestFit="1" customWidth="1"/>
    <col min="2" max="3" width="19.5546875" bestFit="1" customWidth="1"/>
  </cols>
  <sheetData>
    <row r="1" spans="1:9" x14ac:dyDescent="0.3">
      <c r="A1" s="1" t="s">
        <v>5</v>
      </c>
      <c r="B1" s="2" t="s">
        <v>7</v>
      </c>
    </row>
    <row r="2" spans="1:9" x14ac:dyDescent="0.3">
      <c r="A2" s="2" t="s">
        <v>2</v>
      </c>
      <c r="B2" s="2">
        <v>303407</v>
      </c>
      <c r="D2" s="11" t="s">
        <v>19</v>
      </c>
      <c r="E2" s="11"/>
      <c r="F2" s="11"/>
      <c r="G2" s="11"/>
      <c r="H2" s="11"/>
      <c r="I2" s="11"/>
    </row>
    <row r="3" spans="1:9" x14ac:dyDescent="0.3">
      <c r="A3" s="2" t="s">
        <v>1</v>
      </c>
      <c r="B3" s="2">
        <v>290487</v>
      </c>
    </row>
    <row r="4" spans="1:9" x14ac:dyDescent="0.3">
      <c r="A4" s="2" t="s">
        <v>0</v>
      </c>
      <c r="B4" s="2">
        <v>261862</v>
      </c>
    </row>
    <row r="5" spans="1:9" x14ac:dyDescent="0.3">
      <c r="A5" s="2" t="s">
        <v>3</v>
      </c>
      <c r="B5" s="2">
        <v>230642</v>
      </c>
    </row>
    <row r="6" spans="1:9" x14ac:dyDescent="0.3">
      <c r="A6" s="2" t="s">
        <v>4</v>
      </c>
      <c r="B6" s="2">
        <v>1086398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C399-7BA0-40C1-9961-94F14376B666}">
  <dimension ref="A1:J5"/>
  <sheetViews>
    <sheetView workbookViewId="0">
      <selection activeCell="E4" sqref="E4"/>
    </sheetView>
  </sheetViews>
  <sheetFormatPr defaultRowHeight="14.4" x14ac:dyDescent="0.3"/>
  <cols>
    <col min="1" max="1" width="12.77734375" bestFit="1" customWidth="1"/>
    <col min="2" max="3" width="26.33203125" bestFit="1" customWidth="1"/>
    <col min="4" max="4" width="23.6640625" bestFit="1" customWidth="1"/>
  </cols>
  <sheetData>
    <row r="1" spans="1:10" x14ac:dyDescent="0.3">
      <c r="A1" s="1" t="s">
        <v>5</v>
      </c>
      <c r="B1" s="2" t="s">
        <v>6</v>
      </c>
      <c r="C1" s="2" t="s">
        <v>8</v>
      </c>
    </row>
    <row r="2" spans="1:10" x14ac:dyDescent="0.3">
      <c r="A2" s="4" t="s">
        <v>3</v>
      </c>
      <c r="B2" s="3">
        <v>17.599262914182141</v>
      </c>
      <c r="C2" s="3">
        <v>12.863709999999999</v>
      </c>
      <c r="E2" s="11" t="s">
        <v>18</v>
      </c>
      <c r="F2" s="11"/>
      <c r="G2" s="11"/>
      <c r="H2" s="11"/>
      <c r="I2" s="11"/>
      <c r="J2" s="11"/>
    </row>
    <row r="3" spans="1:10" x14ac:dyDescent="0.3">
      <c r="A3" s="4" t="s">
        <v>2</v>
      </c>
      <c r="B3" s="3">
        <v>17.480513118999934</v>
      </c>
      <c r="C3" s="3">
        <v>18.740830000000003</v>
      </c>
    </row>
    <row r="4" spans="1:10" x14ac:dyDescent="0.3">
      <c r="A4" s="4" t="s">
        <v>1</v>
      </c>
      <c r="B4" s="3">
        <v>14.067998324800023</v>
      </c>
      <c r="C4" s="3">
        <v>19.90523</v>
      </c>
    </row>
    <row r="5" spans="1:10" x14ac:dyDescent="0.3">
      <c r="A5" s="4" t="s">
        <v>0</v>
      </c>
      <c r="B5" s="3">
        <v>15.559291798886182</v>
      </c>
      <c r="C5" s="3">
        <v>17.75883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E04AB-7D06-4D90-8295-4313389D7A3C}">
  <dimension ref="A1:G11"/>
  <sheetViews>
    <sheetView tabSelected="1" workbookViewId="0">
      <selection activeCell="D12" sqref="D12"/>
    </sheetView>
  </sheetViews>
  <sheetFormatPr defaultRowHeight="14.4" x14ac:dyDescent="0.3"/>
  <cols>
    <col min="1" max="1" width="12.5546875" bestFit="1" customWidth="1"/>
    <col min="2" max="2" width="25.44140625" bestFit="1" customWidth="1"/>
    <col min="3" max="3" width="19.21875" bestFit="1" customWidth="1"/>
    <col min="4" max="4" width="25.44140625" bestFit="1" customWidth="1"/>
    <col min="5" max="5" width="19.21875" bestFit="1" customWidth="1"/>
    <col min="6" max="6" width="23" bestFit="1" customWidth="1"/>
    <col min="7" max="7" width="16.21875" bestFit="1" customWidth="1"/>
  </cols>
  <sheetData>
    <row r="1" spans="1:7" ht="15" thickBot="1" x14ac:dyDescent="0.35">
      <c r="A1" s="8" t="s">
        <v>5</v>
      </c>
      <c r="B1" s="5" t="s">
        <v>6</v>
      </c>
      <c r="C1" s="5" t="s">
        <v>7</v>
      </c>
      <c r="D1" s="5" t="s">
        <v>16</v>
      </c>
    </row>
    <row r="2" spans="1:7" ht="15" thickBot="1" x14ac:dyDescent="0.35">
      <c r="A2" s="5" t="s">
        <v>3</v>
      </c>
      <c r="B2" s="7">
        <v>17.599262914182141</v>
      </c>
      <c r="C2" s="9">
        <v>230642</v>
      </c>
      <c r="D2" s="7">
        <v>12.863709999999999</v>
      </c>
    </row>
    <row r="3" spans="1:7" ht="15" thickBot="1" x14ac:dyDescent="0.35">
      <c r="A3" s="5" t="s">
        <v>2</v>
      </c>
      <c r="B3" s="7">
        <v>17.480513118999934</v>
      </c>
      <c r="C3" s="9">
        <v>303407</v>
      </c>
      <c r="D3" s="7">
        <v>18.740830000000003</v>
      </c>
    </row>
    <row r="4" spans="1:7" ht="15" thickBot="1" x14ac:dyDescent="0.35">
      <c r="A4" s="5" t="s">
        <v>0</v>
      </c>
      <c r="B4" s="7">
        <v>15.559291798886182</v>
      </c>
      <c r="C4" s="9">
        <v>261862</v>
      </c>
      <c r="D4" s="7">
        <v>17.75883</v>
      </c>
    </row>
    <row r="5" spans="1:7" ht="15" thickBot="1" x14ac:dyDescent="0.35">
      <c r="A5" s="5" t="s">
        <v>1</v>
      </c>
      <c r="B5" s="7">
        <v>14.067998324800023</v>
      </c>
      <c r="C5" s="9">
        <v>290487</v>
      </c>
      <c r="D5" s="7">
        <v>19.90523</v>
      </c>
    </row>
    <row r="7" spans="1:7" x14ac:dyDescent="0.3">
      <c r="A7" s="11" t="s">
        <v>17</v>
      </c>
      <c r="B7" s="11"/>
      <c r="C7" s="11"/>
      <c r="D7" s="11"/>
      <c r="E7" s="11"/>
      <c r="F7" s="11"/>
      <c r="G7" s="11"/>
    </row>
    <row r="9" spans="1:7" x14ac:dyDescent="0.3">
      <c r="B9" s="14" t="s">
        <v>23</v>
      </c>
      <c r="C9" s="12"/>
      <c r="D9" s="12"/>
    </row>
    <row r="10" spans="1:7" x14ac:dyDescent="0.3">
      <c r="B10" s="13" t="s">
        <v>21</v>
      </c>
      <c r="C10" s="12"/>
      <c r="D10" s="12"/>
    </row>
    <row r="11" spans="1:7" x14ac:dyDescent="0.3">
      <c r="B11" s="13" t="s">
        <v>22</v>
      </c>
      <c r="C11" s="12"/>
      <c r="D11" s="12"/>
    </row>
  </sheetData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3499F0-C61E-4550-95B3-872164369F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3.1</vt:lpstr>
      <vt:lpstr>Task 3.2</vt:lpstr>
      <vt:lpstr>Task 3.3</vt:lpstr>
      <vt:lpstr>Task 3.4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SAVARAM</dc:creator>
  <cp:lastModifiedBy>SAI SATHYA DHEERAJ</cp:lastModifiedBy>
  <dcterms:created xsi:type="dcterms:W3CDTF">2015-06-05T18:17:20Z</dcterms:created>
  <dcterms:modified xsi:type="dcterms:W3CDTF">2025-12-04T18:26:20Z</dcterms:modified>
</cp:coreProperties>
</file>