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THYA SAVARAM\Downloads\C2 Project _Apple Social Media Analytics\"/>
    </mc:Choice>
  </mc:AlternateContent>
  <xr:revisionPtr revIDLastSave="0" documentId="13_ncr:1_{F9ADA74B-003C-47CB-A7EE-17F44A0C3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6.1" sheetId="3" r:id="rId1"/>
    <sheet name="Task 6.2" sheetId="4" r:id="rId2"/>
    <sheet name="Task 6.3 - Moving Averages" sheetId="10" r:id="rId3"/>
    <sheet name="Task 6.4" sheetId="8" r:id="rId4"/>
  </sheets>
  <definedNames>
    <definedName name="ExternalData_2" localSheetId="3" hidden="1">'Task 6.4'!$A$1:$C$201</definedName>
    <definedName name="ExternalData_3" localSheetId="3" hidden="1">'Task 6.4'!$F$2:$H$6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8" l="1"/>
  <c r="H6" i="8"/>
  <c r="H4" i="8"/>
  <c r="H5" i="8"/>
  <c r="G3" i="8"/>
  <c r="G6" i="8"/>
  <c r="G4" i="8"/>
  <c r="G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90EBF1-02C1-4DC6-85A6-5853F0743C88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2" xr16:uid="{0752B01F-1EC4-4699-8487-3BBD65C88618}" keepAlive="1" name="Query - Task 6_3 Moving Averages" description="Connection to the 'Task 6_3 Moving Averages' query in the workbook." type="5" refreshedVersion="8" background="1" saveData="1">
    <dbPr connection="Provider=Microsoft.Mashup.OleDb.1;Data Source=$Workbook$;Location=&quot;Task 6_3 Moving Averages&quot;;Extended Properties=&quot;&quot;" command="SELECT * FROM [Task 6_3 Moving Averages]"/>
  </connection>
  <connection id="3" xr16:uid="{D582DDA1-E359-45E2-A2BB-F7EF70B9AE77}" keepAlive="1" name="Query - Task 6_3 Moving Averages (2)" description="Connection to the 'Task 6_3 Moving Averages (2)' query in the workbook." type="5" refreshedVersion="8" background="1" saveData="1">
    <dbPr connection="Provider=Microsoft.Mashup.OleDb.1;Data Source=$Workbook$;Location=&quot;Task 6_3 Moving Averages (2)&quot;;Extended Properties=&quot;&quot;" command="SELECT * FROM [Task 6_3 Moving Averages (2)]"/>
  </connection>
  <connection id="4" xr16:uid="{F1AC8EAA-4331-4D78-8E64-0BD84ADBB57D}" keepAlive="1" name="Query - Task 6_4" description="Connection to the 'Task 6_4' query in the workbook." type="5" refreshedVersion="8" background="1" saveData="1">
    <dbPr connection="Provider=Microsoft.Mashup.OleDb.1;Data Source=$Workbook$;Location=&quot;Task 6_4&quot;;Extended Properties=&quot;&quot;" command="SELECT * FROM [Task 6_4]"/>
  </connection>
  <connection id="5" xr16:uid="{395EEBB4-4034-45AB-B84B-A3D9D39E9EE4}" keepAlive="1" name="Query - Task 6_4 (2)" description="Connection to the 'Task 6_4 (2)' query in the workbook." type="5" refreshedVersion="8" background="1" saveData="1">
    <dbPr connection="Provider=Microsoft.Mashup.OleDb.1;Data Source=$Workbook$;Location=&quot;Task 6_4 (2)&quot;;Extended Properties=&quot;&quot;" command="SELECT * FROM [Task 6_4 (2)]"/>
  </connection>
  <connection id="6" xr16:uid="{F606F72D-629C-42F3-A394-7BF884626F70}" keepAlive="1" name="Query - Task 6_4 (3)" description="Connection to the 'Task 6_4 (3)' query in the workbook." type="5" refreshedVersion="8" background="1" saveData="1">
    <dbPr connection="Provider=Microsoft.Mashup.OleDb.1;Data Source=$Workbook$;Location=&quot;Task 6_4 (3)&quot;;Extended Properties=&quot;&quot;" command="SELECT * FROM [Task 6_4 (3)]"/>
  </connection>
</connections>
</file>

<file path=xl/sharedStrings.xml><?xml version="1.0" encoding="utf-8"?>
<sst xmlns="http://schemas.openxmlformats.org/spreadsheetml/2006/main" count="241" uniqueCount="16">
  <si>
    <t>Platform</t>
  </si>
  <si>
    <t>Instagram</t>
  </si>
  <si>
    <t>Twitter</t>
  </si>
  <si>
    <t>YouTube</t>
  </si>
  <si>
    <t>LinkedIn</t>
  </si>
  <si>
    <t>Grand Total</t>
  </si>
  <si>
    <t>Sum of Net_followers</t>
  </si>
  <si>
    <t>Weekly Start Date</t>
  </si>
  <si>
    <t>Net_followers</t>
  </si>
  <si>
    <t>Ad_Spend</t>
  </si>
  <si>
    <t>Total Ad_Spend</t>
  </si>
  <si>
    <t>Total Net_followers</t>
  </si>
  <si>
    <t>Task 6.4 Correlate ad spend vs. follower growth using scatter plots.</t>
  </si>
  <si>
    <t>Task 6.3 Use moving averages to smooth growth trends.</t>
  </si>
  <si>
    <t xml:space="preserve">Task 6.2 Identify the peak week of follower gain. </t>
  </si>
  <si>
    <t>Task 6.1 Visualize weekly follower growth per platform (line chart).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</si>
</sst>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pivotButton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pivotButton="1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1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219">
    <dxf>
      <numFmt numFmtId="3" formatCode="#,##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</font>
      <fill>
        <patternFill>
          <bgColor rgb="FFFFC000"/>
        </patternFill>
      </fill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6 - Follower Retention and Loyalty .xlsx]Task 6.1!PivotTable4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Weekly Follower Growth per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6.1'!$B$1:$B$2</c:f>
              <c:strCache>
                <c:ptCount val="1"/>
                <c:pt idx="0">
                  <c:v>Instagram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'Task 6.1'!$A$3:$A$53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'Task 6.1'!$B$3:$B$53</c:f>
              <c:numCache>
                <c:formatCode>General</c:formatCode>
                <c:ptCount val="50"/>
                <c:pt idx="0">
                  <c:v>3777</c:v>
                </c:pt>
                <c:pt idx="1">
                  <c:v>7215</c:v>
                </c:pt>
                <c:pt idx="2">
                  <c:v>13130</c:v>
                </c:pt>
                <c:pt idx="3">
                  <c:v>4885</c:v>
                </c:pt>
                <c:pt idx="4">
                  <c:v>5928</c:v>
                </c:pt>
                <c:pt idx="6">
                  <c:v>4967</c:v>
                </c:pt>
                <c:pt idx="9">
                  <c:v>3213</c:v>
                </c:pt>
                <c:pt idx="10">
                  <c:v>6853</c:v>
                </c:pt>
                <c:pt idx="11">
                  <c:v>13835</c:v>
                </c:pt>
                <c:pt idx="12">
                  <c:v>8231</c:v>
                </c:pt>
                <c:pt idx="13">
                  <c:v>7396</c:v>
                </c:pt>
                <c:pt idx="14">
                  <c:v>7442</c:v>
                </c:pt>
                <c:pt idx="16">
                  <c:v>13040</c:v>
                </c:pt>
                <c:pt idx="17">
                  <c:v>9904</c:v>
                </c:pt>
                <c:pt idx="18">
                  <c:v>4808</c:v>
                </c:pt>
                <c:pt idx="20">
                  <c:v>23973</c:v>
                </c:pt>
                <c:pt idx="24">
                  <c:v>5206</c:v>
                </c:pt>
                <c:pt idx="25">
                  <c:v>14537</c:v>
                </c:pt>
                <c:pt idx="26">
                  <c:v>8999</c:v>
                </c:pt>
                <c:pt idx="27">
                  <c:v>3461</c:v>
                </c:pt>
                <c:pt idx="28">
                  <c:v>4802</c:v>
                </c:pt>
                <c:pt idx="29">
                  <c:v>4314</c:v>
                </c:pt>
                <c:pt idx="30">
                  <c:v>4214</c:v>
                </c:pt>
                <c:pt idx="32">
                  <c:v>2919</c:v>
                </c:pt>
                <c:pt idx="34">
                  <c:v>3643</c:v>
                </c:pt>
                <c:pt idx="37">
                  <c:v>11468</c:v>
                </c:pt>
                <c:pt idx="38">
                  <c:v>15087</c:v>
                </c:pt>
                <c:pt idx="40">
                  <c:v>2994</c:v>
                </c:pt>
                <c:pt idx="41">
                  <c:v>8292</c:v>
                </c:pt>
                <c:pt idx="43">
                  <c:v>6128</c:v>
                </c:pt>
                <c:pt idx="44">
                  <c:v>1425</c:v>
                </c:pt>
                <c:pt idx="46">
                  <c:v>15012</c:v>
                </c:pt>
                <c:pt idx="48">
                  <c:v>7959</c:v>
                </c:pt>
                <c:pt idx="49">
                  <c:v>2805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30-430B-97A3-408C356011AB}"/>
            </c:ext>
          </c:extLst>
        </c:ser>
        <c:ser>
          <c:idx val="1"/>
          <c:order val="1"/>
          <c:tx>
            <c:strRef>
              <c:f>'Task 6.1'!$C$1:$C$2</c:f>
              <c:strCache>
                <c:ptCount val="1"/>
                <c:pt idx="0">
                  <c:v>LinkedIn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'Task 6.1'!$A$3:$A$53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'Task 6.1'!$C$3:$C$53</c:f>
              <c:numCache>
                <c:formatCode>General</c:formatCode>
                <c:ptCount val="50"/>
                <c:pt idx="2">
                  <c:v>6728</c:v>
                </c:pt>
                <c:pt idx="4">
                  <c:v>5442</c:v>
                </c:pt>
                <c:pt idx="5">
                  <c:v>11378</c:v>
                </c:pt>
                <c:pt idx="7">
                  <c:v>15403</c:v>
                </c:pt>
                <c:pt idx="8">
                  <c:v>7537</c:v>
                </c:pt>
                <c:pt idx="9">
                  <c:v>4847</c:v>
                </c:pt>
                <c:pt idx="12">
                  <c:v>1513</c:v>
                </c:pt>
                <c:pt idx="13">
                  <c:v>8228</c:v>
                </c:pt>
                <c:pt idx="14">
                  <c:v>6121</c:v>
                </c:pt>
                <c:pt idx="15">
                  <c:v>2199</c:v>
                </c:pt>
                <c:pt idx="18">
                  <c:v>2421</c:v>
                </c:pt>
                <c:pt idx="21">
                  <c:v>14812</c:v>
                </c:pt>
                <c:pt idx="22">
                  <c:v>4942</c:v>
                </c:pt>
                <c:pt idx="23">
                  <c:v>4882</c:v>
                </c:pt>
                <c:pt idx="24">
                  <c:v>9648</c:v>
                </c:pt>
                <c:pt idx="25">
                  <c:v>8945</c:v>
                </c:pt>
                <c:pt idx="26">
                  <c:v>5402</c:v>
                </c:pt>
                <c:pt idx="27">
                  <c:v>949</c:v>
                </c:pt>
                <c:pt idx="28">
                  <c:v>8527</c:v>
                </c:pt>
                <c:pt idx="29">
                  <c:v>7541</c:v>
                </c:pt>
                <c:pt idx="30">
                  <c:v>16577</c:v>
                </c:pt>
                <c:pt idx="31">
                  <c:v>9254</c:v>
                </c:pt>
                <c:pt idx="32">
                  <c:v>7471</c:v>
                </c:pt>
                <c:pt idx="34">
                  <c:v>7260</c:v>
                </c:pt>
                <c:pt idx="36">
                  <c:v>12622</c:v>
                </c:pt>
                <c:pt idx="37">
                  <c:v>5101</c:v>
                </c:pt>
                <c:pt idx="39">
                  <c:v>7432</c:v>
                </c:pt>
                <c:pt idx="40">
                  <c:v>2535</c:v>
                </c:pt>
                <c:pt idx="41">
                  <c:v>19728</c:v>
                </c:pt>
                <c:pt idx="42">
                  <c:v>21227</c:v>
                </c:pt>
                <c:pt idx="43">
                  <c:v>1660</c:v>
                </c:pt>
                <c:pt idx="44">
                  <c:v>4542</c:v>
                </c:pt>
                <c:pt idx="45">
                  <c:v>24995</c:v>
                </c:pt>
                <c:pt idx="47">
                  <c:v>1512</c:v>
                </c:pt>
                <c:pt idx="48">
                  <c:v>2960</c:v>
                </c:pt>
                <c:pt idx="49">
                  <c:v>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0930-430B-97A3-408C356011AB}"/>
            </c:ext>
          </c:extLst>
        </c:ser>
        <c:ser>
          <c:idx val="2"/>
          <c:order val="2"/>
          <c:tx>
            <c:strRef>
              <c:f>'Task 6.1'!$D$1:$D$2</c:f>
              <c:strCache>
                <c:ptCount val="1"/>
                <c:pt idx="0">
                  <c:v>Twitter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'Task 6.1'!$A$3:$A$53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'Task 6.1'!$D$3:$D$53</c:f>
              <c:numCache>
                <c:formatCode>General</c:formatCode>
                <c:ptCount val="50"/>
                <c:pt idx="0">
                  <c:v>7432</c:v>
                </c:pt>
                <c:pt idx="1">
                  <c:v>8369</c:v>
                </c:pt>
                <c:pt idx="2">
                  <c:v>6073</c:v>
                </c:pt>
                <c:pt idx="3">
                  <c:v>15084</c:v>
                </c:pt>
                <c:pt idx="4">
                  <c:v>8463</c:v>
                </c:pt>
                <c:pt idx="5">
                  <c:v>7151</c:v>
                </c:pt>
                <c:pt idx="6">
                  <c:v>7092</c:v>
                </c:pt>
                <c:pt idx="7">
                  <c:v>7733</c:v>
                </c:pt>
                <c:pt idx="8">
                  <c:v>6039</c:v>
                </c:pt>
                <c:pt idx="9">
                  <c:v>3497</c:v>
                </c:pt>
                <c:pt idx="10">
                  <c:v>12800</c:v>
                </c:pt>
                <c:pt idx="12">
                  <c:v>5753</c:v>
                </c:pt>
                <c:pt idx="13">
                  <c:v>6593</c:v>
                </c:pt>
                <c:pt idx="15">
                  <c:v>3925</c:v>
                </c:pt>
                <c:pt idx="16">
                  <c:v>4942</c:v>
                </c:pt>
                <c:pt idx="17">
                  <c:v>8530</c:v>
                </c:pt>
                <c:pt idx="19">
                  <c:v>16256</c:v>
                </c:pt>
                <c:pt idx="22">
                  <c:v>8687</c:v>
                </c:pt>
                <c:pt idx="23">
                  <c:v>9649</c:v>
                </c:pt>
                <c:pt idx="24">
                  <c:v>6384</c:v>
                </c:pt>
                <c:pt idx="27">
                  <c:v>6642</c:v>
                </c:pt>
                <c:pt idx="28">
                  <c:v>6275</c:v>
                </c:pt>
                <c:pt idx="30">
                  <c:v>3079</c:v>
                </c:pt>
                <c:pt idx="31">
                  <c:v>9202</c:v>
                </c:pt>
                <c:pt idx="32">
                  <c:v>7346</c:v>
                </c:pt>
                <c:pt idx="33">
                  <c:v>20155</c:v>
                </c:pt>
                <c:pt idx="34">
                  <c:v>11789</c:v>
                </c:pt>
                <c:pt idx="35">
                  <c:v>16086</c:v>
                </c:pt>
                <c:pt idx="36">
                  <c:v>1020</c:v>
                </c:pt>
                <c:pt idx="37">
                  <c:v>1290</c:v>
                </c:pt>
                <c:pt idx="39">
                  <c:v>6326</c:v>
                </c:pt>
                <c:pt idx="40">
                  <c:v>8723</c:v>
                </c:pt>
                <c:pt idx="43">
                  <c:v>6272</c:v>
                </c:pt>
                <c:pt idx="44">
                  <c:v>8319</c:v>
                </c:pt>
                <c:pt idx="46">
                  <c:v>7058</c:v>
                </c:pt>
                <c:pt idx="47">
                  <c:v>15937</c:v>
                </c:pt>
                <c:pt idx="49">
                  <c:v>7436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0930-430B-97A3-408C356011AB}"/>
            </c:ext>
          </c:extLst>
        </c:ser>
        <c:ser>
          <c:idx val="3"/>
          <c:order val="3"/>
          <c:tx>
            <c:strRef>
              <c:f>'Task 6.1'!$E$1:$E$2</c:f>
              <c:strCache>
                <c:ptCount val="1"/>
                <c:pt idx="0">
                  <c:v>YouTube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'Task 6.1'!$A$3:$A$53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'Task 6.1'!$E$3:$E$53</c:f>
              <c:numCache>
                <c:formatCode>General</c:formatCode>
                <c:ptCount val="50"/>
                <c:pt idx="0">
                  <c:v>15994</c:v>
                </c:pt>
                <c:pt idx="1">
                  <c:v>7478</c:v>
                </c:pt>
                <c:pt idx="3">
                  <c:v>8653</c:v>
                </c:pt>
                <c:pt idx="6">
                  <c:v>1826</c:v>
                </c:pt>
                <c:pt idx="7">
                  <c:v>9082</c:v>
                </c:pt>
                <c:pt idx="8">
                  <c:v>3445</c:v>
                </c:pt>
                <c:pt idx="9">
                  <c:v>2543</c:v>
                </c:pt>
                <c:pt idx="10">
                  <c:v>7033</c:v>
                </c:pt>
                <c:pt idx="11">
                  <c:v>9427</c:v>
                </c:pt>
                <c:pt idx="12">
                  <c:v>5303</c:v>
                </c:pt>
                <c:pt idx="14">
                  <c:v>11613</c:v>
                </c:pt>
                <c:pt idx="15">
                  <c:v>9308</c:v>
                </c:pt>
                <c:pt idx="18">
                  <c:v>10348</c:v>
                </c:pt>
                <c:pt idx="19">
                  <c:v>7115</c:v>
                </c:pt>
                <c:pt idx="20">
                  <c:v>6918</c:v>
                </c:pt>
                <c:pt idx="21">
                  <c:v>12442</c:v>
                </c:pt>
                <c:pt idx="22">
                  <c:v>3056</c:v>
                </c:pt>
                <c:pt idx="23">
                  <c:v>5220</c:v>
                </c:pt>
                <c:pt idx="25">
                  <c:v>5143</c:v>
                </c:pt>
                <c:pt idx="26">
                  <c:v>3929</c:v>
                </c:pt>
                <c:pt idx="27">
                  <c:v>4790</c:v>
                </c:pt>
                <c:pt idx="29">
                  <c:v>7328</c:v>
                </c:pt>
                <c:pt idx="31">
                  <c:v>8601</c:v>
                </c:pt>
                <c:pt idx="32">
                  <c:v>1001</c:v>
                </c:pt>
                <c:pt idx="33">
                  <c:v>7654</c:v>
                </c:pt>
                <c:pt idx="35">
                  <c:v>12447</c:v>
                </c:pt>
                <c:pt idx="38">
                  <c:v>15359</c:v>
                </c:pt>
                <c:pt idx="39">
                  <c:v>6631</c:v>
                </c:pt>
                <c:pt idx="40">
                  <c:v>3555</c:v>
                </c:pt>
                <c:pt idx="42">
                  <c:v>4189</c:v>
                </c:pt>
                <c:pt idx="43">
                  <c:v>1567</c:v>
                </c:pt>
                <c:pt idx="44">
                  <c:v>6434</c:v>
                </c:pt>
                <c:pt idx="48">
                  <c:v>5210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0930-430B-97A3-408C35601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578544"/>
        <c:axId val="264574704"/>
      </c:lineChart>
      <c:catAx>
        <c:axId val="26457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74704"/>
        <c:crosses val="autoZero"/>
        <c:auto val="1"/>
        <c:lblAlgn val="ctr"/>
        <c:lblOffset val="100"/>
        <c:noMultiLvlLbl val="0"/>
      </c:catAx>
      <c:valAx>
        <c:axId val="26457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7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6 - Follower Retention and Loyalty .xlsx]Task 6.2!PivotTable4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Peak Week of Follower gain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6.2'!$B$1:$B$2</c:f>
              <c:strCache>
                <c:ptCount val="1"/>
                <c:pt idx="0">
                  <c:v>Instagram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'Task 6.2'!$A$3:$A$53</c:f>
              <c:strCache>
                <c:ptCount val="50"/>
                <c:pt idx="0">
                  <c:v>2024-07-22</c:v>
                </c:pt>
                <c:pt idx="1">
                  <c:v>2024-10-21</c:v>
                </c:pt>
                <c:pt idx="2">
                  <c:v>2025-02-24</c:v>
                </c:pt>
                <c:pt idx="3">
                  <c:v>2024-11-25</c:v>
                </c:pt>
                <c:pt idx="4">
                  <c:v>2024-06-24</c:v>
                </c:pt>
                <c:pt idx="5">
                  <c:v>2025-02-03</c:v>
                </c:pt>
                <c:pt idx="6">
                  <c:v>2025-03-17</c:v>
                </c:pt>
                <c:pt idx="7">
                  <c:v>2025-01-20</c:v>
                </c:pt>
                <c:pt idx="8">
                  <c:v>2024-10-28</c:v>
                </c:pt>
                <c:pt idx="9">
                  <c:v>2024-06-03</c:v>
                </c:pt>
                <c:pt idx="10">
                  <c:v>2025-01-06</c:v>
                </c:pt>
                <c:pt idx="11">
                  <c:v>2024-08-12</c:v>
                </c:pt>
                <c:pt idx="12">
                  <c:v>2024-06-17</c:v>
                </c:pt>
                <c:pt idx="13">
                  <c:v>2025-03-24</c:v>
                </c:pt>
                <c:pt idx="14">
                  <c:v>2024-09-09</c:v>
                </c:pt>
                <c:pt idx="15">
                  <c:v>2025-04-14</c:v>
                </c:pt>
                <c:pt idx="16">
                  <c:v>2024-12-30</c:v>
                </c:pt>
                <c:pt idx="17">
                  <c:v>2024-10-14</c:v>
                </c:pt>
                <c:pt idx="18">
                  <c:v>2024-08-19</c:v>
                </c:pt>
                <c:pt idx="19">
                  <c:v>2024-06-10</c:v>
                </c:pt>
                <c:pt idx="20">
                  <c:v>2025-01-27</c:v>
                </c:pt>
                <c:pt idx="21">
                  <c:v>2024-09-02</c:v>
                </c:pt>
                <c:pt idx="22">
                  <c:v>2025-04-21</c:v>
                </c:pt>
                <c:pt idx="23">
                  <c:v>2024-11-18</c:v>
                </c:pt>
                <c:pt idx="24">
                  <c:v>2024-08-26</c:v>
                </c:pt>
                <c:pt idx="25">
                  <c:v>2025-04-07</c:v>
                </c:pt>
                <c:pt idx="26">
                  <c:v>2025-03-03</c:v>
                </c:pt>
                <c:pt idx="27">
                  <c:v>2024-07-01</c:v>
                </c:pt>
                <c:pt idx="28">
                  <c:v>2024-11-11</c:v>
                </c:pt>
                <c:pt idx="29">
                  <c:v>2024-12-16</c:v>
                </c:pt>
                <c:pt idx="30">
                  <c:v>2024-12-23</c:v>
                </c:pt>
                <c:pt idx="31">
                  <c:v>2025-01-13</c:v>
                </c:pt>
                <c:pt idx="32">
                  <c:v>2024-07-08</c:v>
                </c:pt>
                <c:pt idx="33">
                  <c:v>2024-09-30</c:v>
                </c:pt>
                <c:pt idx="34">
                  <c:v>2025-05-12</c:v>
                </c:pt>
                <c:pt idx="35">
                  <c:v>2024-12-02</c:v>
                </c:pt>
                <c:pt idx="36">
                  <c:v>2024-09-23</c:v>
                </c:pt>
                <c:pt idx="37">
                  <c:v>2025-02-17</c:v>
                </c:pt>
                <c:pt idx="38">
                  <c:v>2025-03-10</c:v>
                </c:pt>
                <c:pt idx="39">
                  <c:v>2024-10-07</c:v>
                </c:pt>
                <c:pt idx="40">
                  <c:v>2025-04-28</c:v>
                </c:pt>
                <c:pt idx="41">
                  <c:v>2024-07-29</c:v>
                </c:pt>
                <c:pt idx="42">
                  <c:v>2024-11-04</c:v>
                </c:pt>
                <c:pt idx="43">
                  <c:v>2025-05-05</c:v>
                </c:pt>
                <c:pt idx="44">
                  <c:v>2024-12-09</c:v>
                </c:pt>
                <c:pt idx="45">
                  <c:v>2025-03-31</c:v>
                </c:pt>
                <c:pt idx="46">
                  <c:v>2024-09-16</c:v>
                </c:pt>
                <c:pt idx="47">
                  <c:v>2024-08-05</c:v>
                </c:pt>
                <c:pt idx="48">
                  <c:v>2024-07-15</c:v>
                </c:pt>
                <c:pt idx="49">
                  <c:v>2025-02-10</c:v>
                </c:pt>
              </c:strCache>
            </c:strRef>
          </c:cat>
          <c:val>
            <c:numRef>
              <c:f>'Task 6.2'!$B$3:$B$53</c:f>
              <c:numCache>
                <c:formatCode>General</c:formatCode>
                <c:ptCount val="50"/>
                <c:pt idx="1">
                  <c:v>23973</c:v>
                </c:pt>
                <c:pt idx="2">
                  <c:v>15087</c:v>
                </c:pt>
                <c:pt idx="3">
                  <c:v>14537</c:v>
                </c:pt>
                <c:pt idx="4">
                  <c:v>4885</c:v>
                </c:pt>
                <c:pt idx="6">
                  <c:v>8292</c:v>
                </c:pt>
                <c:pt idx="9">
                  <c:v>3777</c:v>
                </c:pt>
                <c:pt idx="11">
                  <c:v>6853</c:v>
                </c:pt>
                <c:pt idx="12">
                  <c:v>13130</c:v>
                </c:pt>
                <c:pt idx="14">
                  <c:v>7442</c:v>
                </c:pt>
                <c:pt idx="16">
                  <c:v>4214</c:v>
                </c:pt>
                <c:pt idx="18">
                  <c:v>13835</c:v>
                </c:pt>
                <c:pt idx="19">
                  <c:v>7215</c:v>
                </c:pt>
                <c:pt idx="20">
                  <c:v>3643</c:v>
                </c:pt>
                <c:pt idx="21">
                  <c:v>7396</c:v>
                </c:pt>
                <c:pt idx="22">
                  <c:v>15012</c:v>
                </c:pt>
                <c:pt idx="23">
                  <c:v>5206</c:v>
                </c:pt>
                <c:pt idx="24">
                  <c:v>8231</c:v>
                </c:pt>
                <c:pt idx="25">
                  <c:v>1425</c:v>
                </c:pt>
                <c:pt idx="27">
                  <c:v>5928</c:v>
                </c:pt>
                <c:pt idx="29">
                  <c:v>4802</c:v>
                </c:pt>
                <c:pt idx="30">
                  <c:v>4314</c:v>
                </c:pt>
                <c:pt idx="31">
                  <c:v>2919</c:v>
                </c:pt>
                <c:pt idx="33">
                  <c:v>9904</c:v>
                </c:pt>
                <c:pt idx="34">
                  <c:v>2805</c:v>
                </c:pt>
                <c:pt idx="35">
                  <c:v>8999</c:v>
                </c:pt>
                <c:pt idx="36">
                  <c:v>13040</c:v>
                </c:pt>
                <c:pt idx="37">
                  <c:v>11468</c:v>
                </c:pt>
                <c:pt idx="38">
                  <c:v>2994</c:v>
                </c:pt>
                <c:pt idx="39">
                  <c:v>4808</c:v>
                </c:pt>
                <c:pt idx="43">
                  <c:v>7959</c:v>
                </c:pt>
                <c:pt idx="44">
                  <c:v>3461</c:v>
                </c:pt>
                <c:pt idx="45">
                  <c:v>6128</c:v>
                </c:pt>
                <c:pt idx="47">
                  <c:v>3213</c:v>
                </c:pt>
                <c:pt idx="48">
                  <c:v>4967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AC-4D30-A02C-836988F23AEA}"/>
            </c:ext>
          </c:extLst>
        </c:ser>
        <c:ser>
          <c:idx val="1"/>
          <c:order val="1"/>
          <c:tx>
            <c:strRef>
              <c:f>'Task 6.2'!$C$1:$C$2</c:f>
              <c:strCache>
                <c:ptCount val="1"/>
                <c:pt idx="0">
                  <c:v>LinkedIn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'Task 6.2'!$A$3:$A$53</c:f>
              <c:strCache>
                <c:ptCount val="50"/>
                <c:pt idx="0">
                  <c:v>2024-07-22</c:v>
                </c:pt>
                <c:pt idx="1">
                  <c:v>2024-10-21</c:v>
                </c:pt>
                <c:pt idx="2">
                  <c:v>2025-02-24</c:v>
                </c:pt>
                <c:pt idx="3">
                  <c:v>2024-11-25</c:v>
                </c:pt>
                <c:pt idx="4">
                  <c:v>2024-06-24</c:v>
                </c:pt>
                <c:pt idx="5">
                  <c:v>2025-02-03</c:v>
                </c:pt>
                <c:pt idx="6">
                  <c:v>2025-03-17</c:v>
                </c:pt>
                <c:pt idx="7">
                  <c:v>2025-01-20</c:v>
                </c:pt>
                <c:pt idx="8">
                  <c:v>2024-10-28</c:v>
                </c:pt>
                <c:pt idx="9">
                  <c:v>2024-06-03</c:v>
                </c:pt>
                <c:pt idx="10">
                  <c:v>2025-01-06</c:v>
                </c:pt>
                <c:pt idx="11">
                  <c:v>2024-08-12</c:v>
                </c:pt>
                <c:pt idx="12">
                  <c:v>2024-06-17</c:v>
                </c:pt>
                <c:pt idx="13">
                  <c:v>2025-03-24</c:v>
                </c:pt>
                <c:pt idx="14">
                  <c:v>2024-09-09</c:v>
                </c:pt>
                <c:pt idx="15">
                  <c:v>2025-04-14</c:v>
                </c:pt>
                <c:pt idx="16">
                  <c:v>2024-12-30</c:v>
                </c:pt>
                <c:pt idx="17">
                  <c:v>2024-10-14</c:v>
                </c:pt>
                <c:pt idx="18">
                  <c:v>2024-08-19</c:v>
                </c:pt>
                <c:pt idx="19">
                  <c:v>2024-06-10</c:v>
                </c:pt>
                <c:pt idx="20">
                  <c:v>2025-01-27</c:v>
                </c:pt>
                <c:pt idx="21">
                  <c:v>2024-09-02</c:v>
                </c:pt>
                <c:pt idx="22">
                  <c:v>2025-04-21</c:v>
                </c:pt>
                <c:pt idx="23">
                  <c:v>2024-11-18</c:v>
                </c:pt>
                <c:pt idx="24">
                  <c:v>2024-08-26</c:v>
                </c:pt>
                <c:pt idx="25">
                  <c:v>2025-04-07</c:v>
                </c:pt>
                <c:pt idx="26">
                  <c:v>2025-03-03</c:v>
                </c:pt>
                <c:pt idx="27">
                  <c:v>2024-07-01</c:v>
                </c:pt>
                <c:pt idx="28">
                  <c:v>2024-11-11</c:v>
                </c:pt>
                <c:pt idx="29">
                  <c:v>2024-12-16</c:v>
                </c:pt>
                <c:pt idx="30">
                  <c:v>2024-12-23</c:v>
                </c:pt>
                <c:pt idx="31">
                  <c:v>2025-01-13</c:v>
                </c:pt>
                <c:pt idx="32">
                  <c:v>2024-07-08</c:v>
                </c:pt>
                <c:pt idx="33">
                  <c:v>2024-09-30</c:v>
                </c:pt>
                <c:pt idx="34">
                  <c:v>2025-05-12</c:v>
                </c:pt>
                <c:pt idx="35">
                  <c:v>2024-12-02</c:v>
                </c:pt>
                <c:pt idx="36">
                  <c:v>2024-09-23</c:v>
                </c:pt>
                <c:pt idx="37">
                  <c:v>2025-02-17</c:v>
                </c:pt>
                <c:pt idx="38">
                  <c:v>2025-03-10</c:v>
                </c:pt>
                <c:pt idx="39">
                  <c:v>2024-10-07</c:v>
                </c:pt>
                <c:pt idx="40">
                  <c:v>2025-04-28</c:v>
                </c:pt>
                <c:pt idx="41">
                  <c:v>2024-07-29</c:v>
                </c:pt>
                <c:pt idx="42">
                  <c:v>2024-11-04</c:v>
                </c:pt>
                <c:pt idx="43">
                  <c:v>2025-05-05</c:v>
                </c:pt>
                <c:pt idx="44">
                  <c:v>2024-12-09</c:v>
                </c:pt>
                <c:pt idx="45">
                  <c:v>2025-03-31</c:v>
                </c:pt>
                <c:pt idx="46">
                  <c:v>2024-09-16</c:v>
                </c:pt>
                <c:pt idx="47">
                  <c:v>2024-08-05</c:v>
                </c:pt>
                <c:pt idx="48">
                  <c:v>2024-07-15</c:v>
                </c:pt>
                <c:pt idx="49">
                  <c:v>2025-02-10</c:v>
                </c:pt>
              </c:strCache>
            </c:strRef>
          </c:cat>
          <c:val>
            <c:numRef>
              <c:f>'Task 6.2'!$C$3:$C$53</c:f>
              <c:numCache>
                <c:formatCode>General</c:formatCode>
                <c:ptCount val="50"/>
                <c:pt idx="0">
                  <c:v>15403</c:v>
                </c:pt>
                <c:pt idx="3">
                  <c:v>8945</c:v>
                </c:pt>
                <c:pt idx="6">
                  <c:v>19728</c:v>
                </c:pt>
                <c:pt idx="8">
                  <c:v>14812</c:v>
                </c:pt>
                <c:pt idx="10">
                  <c:v>9254</c:v>
                </c:pt>
                <c:pt idx="12">
                  <c:v>6728</c:v>
                </c:pt>
                <c:pt idx="13">
                  <c:v>21227</c:v>
                </c:pt>
                <c:pt idx="14">
                  <c:v>6121</c:v>
                </c:pt>
                <c:pt idx="15">
                  <c:v>24995</c:v>
                </c:pt>
                <c:pt idx="16">
                  <c:v>16577</c:v>
                </c:pt>
                <c:pt idx="20">
                  <c:v>7260</c:v>
                </c:pt>
                <c:pt idx="21">
                  <c:v>8228</c:v>
                </c:pt>
                <c:pt idx="23">
                  <c:v>9648</c:v>
                </c:pt>
                <c:pt idx="24">
                  <c:v>1513</c:v>
                </c:pt>
                <c:pt idx="25">
                  <c:v>4542</c:v>
                </c:pt>
                <c:pt idx="26">
                  <c:v>7432</c:v>
                </c:pt>
                <c:pt idx="27">
                  <c:v>5442</c:v>
                </c:pt>
                <c:pt idx="28">
                  <c:v>4882</c:v>
                </c:pt>
                <c:pt idx="29">
                  <c:v>8527</c:v>
                </c:pt>
                <c:pt idx="30">
                  <c:v>7541</c:v>
                </c:pt>
                <c:pt idx="31">
                  <c:v>7471</c:v>
                </c:pt>
                <c:pt idx="32">
                  <c:v>11378</c:v>
                </c:pt>
                <c:pt idx="34">
                  <c:v>8146</c:v>
                </c:pt>
                <c:pt idx="35">
                  <c:v>5402</c:v>
                </c:pt>
                <c:pt idx="37">
                  <c:v>5101</c:v>
                </c:pt>
                <c:pt idx="38">
                  <c:v>2535</c:v>
                </c:pt>
                <c:pt idx="39">
                  <c:v>2421</c:v>
                </c:pt>
                <c:pt idx="40">
                  <c:v>1512</c:v>
                </c:pt>
                <c:pt idx="41">
                  <c:v>7537</c:v>
                </c:pt>
                <c:pt idx="42">
                  <c:v>4942</c:v>
                </c:pt>
                <c:pt idx="43">
                  <c:v>2960</c:v>
                </c:pt>
                <c:pt idx="44">
                  <c:v>949</c:v>
                </c:pt>
                <c:pt idx="45">
                  <c:v>1660</c:v>
                </c:pt>
                <c:pt idx="46">
                  <c:v>2199</c:v>
                </c:pt>
                <c:pt idx="47">
                  <c:v>4847</c:v>
                </c:pt>
                <c:pt idx="49">
                  <c:v>12622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DAC-4D30-A02C-836988F23AEA}"/>
            </c:ext>
          </c:extLst>
        </c:ser>
        <c:ser>
          <c:idx val="2"/>
          <c:order val="2"/>
          <c:tx>
            <c:strRef>
              <c:f>'Task 6.2'!$D$1:$D$2</c:f>
              <c:strCache>
                <c:ptCount val="1"/>
                <c:pt idx="0">
                  <c:v>Twitter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'Task 6.2'!$A$3:$A$53</c:f>
              <c:strCache>
                <c:ptCount val="50"/>
                <c:pt idx="0">
                  <c:v>2024-07-22</c:v>
                </c:pt>
                <c:pt idx="1">
                  <c:v>2024-10-21</c:v>
                </c:pt>
                <c:pt idx="2">
                  <c:v>2025-02-24</c:v>
                </c:pt>
                <c:pt idx="3">
                  <c:v>2024-11-25</c:v>
                </c:pt>
                <c:pt idx="4">
                  <c:v>2024-06-24</c:v>
                </c:pt>
                <c:pt idx="5">
                  <c:v>2025-02-03</c:v>
                </c:pt>
                <c:pt idx="6">
                  <c:v>2025-03-17</c:v>
                </c:pt>
                <c:pt idx="7">
                  <c:v>2025-01-20</c:v>
                </c:pt>
                <c:pt idx="8">
                  <c:v>2024-10-28</c:v>
                </c:pt>
                <c:pt idx="9">
                  <c:v>2024-06-03</c:v>
                </c:pt>
                <c:pt idx="10">
                  <c:v>2025-01-06</c:v>
                </c:pt>
                <c:pt idx="11">
                  <c:v>2024-08-12</c:v>
                </c:pt>
                <c:pt idx="12">
                  <c:v>2024-06-17</c:v>
                </c:pt>
                <c:pt idx="13">
                  <c:v>2025-03-24</c:v>
                </c:pt>
                <c:pt idx="14">
                  <c:v>2024-09-09</c:v>
                </c:pt>
                <c:pt idx="15">
                  <c:v>2025-04-14</c:v>
                </c:pt>
                <c:pt idx="16">
                  <c:v>2024-12-30</c:v>
                </c:pt>
                <c:pt idx="17">
                  <c:v>2024-10-14</c:v>
                </c:pt>
                <c:pt idx="18">
                  <c:v>2024-08-19</c:v>
                </c:pt>
                <c:pt idx="19">
                  <c:v>2024-06-10</c:v>
                </c:pt>
                <c:pt idx="20">
                  <c:v>2025-01-27</c:v>
                </c:pt>
                <c:pt idx="21">
                  <c:v>2024-09-02</c:v>
                </c:pt>
                <c:pt idx="22">
                  <c:v>2025-04-21</c:v>
                </c:pt>
                <c:pt idx="23">
                  <c:v>2024-11-18</c:v>
                </c:pt>
                <c:pt idx="24">
                  <c:v>2024-08-26</c:v>
                </c:pt>
                <c:pt idx="25">
                  <c:v>2025-04-07</c:v>
                </c:pt>
                <c:pt idx="26">
                  <c:v>2025-03-03</c:v>
                </c:pt>
                <c:pt idx="27">
                  <c:v>2024-07-01</c:v>
                </c:pt>
                <c:pt idx="28">
                  <c:v>2024-11-11</c:v>
                </c:pt>
                <c:pt idx="29">
                  <c:v>2024-12-16</c:v>
                </c:pt>
                <c:pt idx="30">
                  <c:v>2024-12-23</c:v>
                </c:pt>
                <c:pt idx="31">
                  <c:v>2025-01-13</c:v>
                </c:pt>
                <c:pt idx="32">
                  <c:v>2024-07-08</c:v>
                </c:pt>
                <c:pt idx="33">
                  <c:v>2024-09-30</c:v>
                </c:pt>
                <c:pt idx="34">
                  <c:v>2025-05-12</c:v>
                </c:pt>
                <c:pt idx="35">
                  <c:v>2024-12-02</c:v>
                </c:pt>
                <c:pt idx="36">
                  <c:v>2024-09-23</c:v>
                </c:pt>
                <c:pt idx="37">
                  <c:v>2025-02-17</c:v>
                </c:pt>
                <c:pt idx="38">
                  <c:v>2025-03-10</c:v>
                </c:pt>
                <c:pt idx="39">
                  <c:v>2024-10-07</c:v>
                </c:pt>
                <c:pt idx="40">
                  <c:v>2025-04-28</c:v>
                </c:pt>
                <c:pt idx="41">
                  <c:v>2024-07-29</c:v>
                </c:pt>
                <c:pt idx="42">
                  <c:v>2024-11-04</c:v>
                </c:pt>
                <c:pt idx="43">
                  <c:v>2025-05-05</c:v>
                </c:pt>
                <c:pt idx="44">
                  <c:v>2024-12-09</c:v>
                </c:pt>
                <c:pt idx="45">
                  <c:v>2025-03-31</c:v>
                </c:pt>
                <c:pt idx="46">
                  <c:v>2024-09-16</c:v>
                </c:pt>
                <c:pt idx="47">
                  <c:v>2024-08-05</c:v>
                </c:pt>
                <c:pt idx="48">
                  <c:v>2024-07-15</c:v>
                </c:pt>
                <c:pt idx="49">
                  <c:v>2025-02-10</c:v>
                </c:pt>
              </c:strCache>
            </c:strRef>
          </c:cat>
          <c:val>
            <c:numRef>
              <c:f>'Task 6.2'!$D$3:$D$53</c:f>
              <c:numCache>
                <c:formatCode>General</c:formatCode>
                <c:ptCount val="50"/>
                <c:pt idx="0">
                  <c:v>7733</c:v>
                </c:pt>
                <c:pt idx="4">
                  <c:v>15084</c:v>
                </c:pt>
                <c:pt idx="5">
                  <c:v>16086</c:v>
                </c:pt>
                <c:pt idx="7">
                  <c:v>20155</c:v>
                </c:pt>
                <c:pt idx="9">
                  <c:v>7432</c:v>
                </c:pt>
                <c:pt idx="10">
                  <c:v>9202</c:v>
                </c:pt>
                <c:pt idx="11">
                  <c:v>12800</c:v>
                </c:pt>
                <c:pt idx="12">
                  <c:v>6073</c:v>
                </c:pt>
                <c:pt idx="16">
                  <c:v>3079</c:v>
                </c:pt>
                <c:pt idx="17">
                  <c:v>16256</c:v>
                </c:pt>
                <c:pt idx="19">
                  <c:v>8369</c:v>
                </c:pt>
                <c:pt idx="20">
                  <c:v>11789</c:v>
                </c:pt>
                <c:pt idx="21">
                  <c:v>6593</c:v>
                </c:pt>
                <c:pt idx="22">
                  <c:v>7058</c:v>
                </c:pt>
                <c:pt idx="23">
                  <c:v>6384</c:v>
                </c:pt>
                <c:pt idx="24">
                  <c:v>5753</c:v>
                </c:pt>
                <c:pt idx="25">
                  <c:v>8319</c:v>
                </c:pt>
                <c:pt idx="26">
                  <c:v>6326</c:v>
                </c:pt>
                <c:pt idx="27">
                  <c:v>8463</c:v>
                </c:pt>
                <c:pt idx="28">
                  <c:v>9649</c:v>
                </c:pt>
                <c:pt idx="29">
                  <c:v>6275</c:v>
                </c:pt>
                <c:pt idx="31">
                  <c:v>7346</c:v>
                </c:pt>
                <c:pt idx="32">
                  <c:v>7151</c:v>
                </c:pt>
                <c:pt idx="33">
                  <c:v>8530</c:v>
                </c:pt>
                <c:pt idx="34">
                  <c:v>7436</c:v>
                </c:pt>
                <c:pt idx="36">
                  <c:v>4942</c:v>
                </c:pt>
                <c:pt idx="37">
                  <c:v>1290</c:v>
                </c:pt>
                <c:pt idx="38">
                  <c:v>8723</c:v>
                </c:pt>
                <c:pt idx="40">
                  <c:v>15937</c:v>
                </c:pt>
                <c:pt idx="41">
                  <c:v>6039</c:v>
                </c:pt>
                <c:pt idx="42">
                  <c:v>8687</c:v>
                </c:pt>
                <c:pt idx="44">
                  <c:v>6642</c:v>
                </c:pt>
                <c:pt idx="45">
                  <c:v>6272</c:v>
                </c:pt>
                <c:pt idx="46">
                  <c:v>3925</c:v>
                </c:pt>
                <c:pt idx="47">
                  <c:v>3497</c:v>
                </c:pt>
                <c:pt idx="48">
                  <c:v>7092</c:v>
                </c:pt>
                <c:pt idx="49">
                  <c:v>1020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DAC-4D30-A02C-836988F23AEA}"/>
            </c:ext>
          </c:extLst>
        </c:ser>
        <c:ser>
          <c:idx val="3"/>
          <c:order val="3"/>
          <c:tx>
            <c:strRef>
              <c:f>'Task 6.2'!$E$1:$E$2</c:f>
              <c:strCache>
                <c:ptCount val="1"/>
                <c:pt idx="0">
                  <c:v>YouTube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'Task 6.2'!$A$3:$A$53</c:f>
              <c:strCache>
                <c:ptCount val="50"/>
                <c:pt idx="0">
                  <c:v>2024-07-22</c:v>
                </c:pt>
                <c:pt idx="1">
                  <c:v>2024-10-21</c:v>
                </c:pt>
                <c:pt idx="2">
                  <c:v>2025-02-24</c:v>
                </c:pt>
                <c:pt idx="3">
                  <c:v>2024-11-25</c:v>
                </c:pt>
                <c:pt idx="4">
                  <c:v>2024-06-24</c:v>
                </c:pt>
                <c:pt idx="5">
                  <c:v>2025-02-03</c:v>
                </c:pt>
                <c:pt idx="6">
                  <c:v>2025-03-17</c:v>
                </c:pt>
                <c:pt idx="7">
                  <c:v>2025-01-20</c:v>
                </c:pt>
                <c:pt idx="8">
                  <c:v>2024-10-28</c:v>
                </c:pt>
                <c:pt idx="9">
                  <c:v>2024-06-03</c:v>
                </c:pt>
                <c:pt idx="10">
                  <c:v>2025-01-06</c:v>
                </c:pt>
                <c:pt idx="11">
                  <c:v>2024-08-12</c:v>
                </c:pt>
                <c:pt idx="12">
                  <c:v>2024-06-17</c:v>
                </c:pt>
                <c:pt idx="13">
                  <c:v>2025-03-24</c:v>
                </c:pt>
                <c:pt idx="14">
                  <c:v>2024-09-09</c:v>
                </c:pt>
                <c:pt idx="15">
                  <c:v>2025-04-14</c:v>
                </c:pt>
                <c:pt idx="16">
                  <c:v>2024-12-30</c:v>
                </c:pt>
                <c:pt idx="17">
                  <c:v>2024-10-14</c:v>
                </c:pt>
                <c:pt idx="18">
                  <c:v>2024-08-19</c:v>
                </c:pt>
                <c:pt idx="19">
                  <c:v>2024-06-10</c:v>
                </c:pt>
                <c:pt idx="20">
                  <c:v>2025-01-27</c:v>
                </c:pt>
                <c:pt idx="21">
                  <c:v>2024-09-02</c:v>
                </c:pt>
                <c:pt idx="22">
                  <c:v>2025-04-21</c:v>
                </c:pt>
                <c:pt idx="23">
                  <c:v>2024-11-18</c:v>
                </c:pt>
                <c:pt idx="24">
                  <c:v>2024-08-26</c:v>
                </c:pt>
                <c:pt idx="25">
                  <c:v>2025-04-07</c:v>
                </c:pt>
                <c:pt idx="26">
                  <c:v>2025-03-03</c:v>
                </c:pt>
                <c:pt idx="27">
                  <c:v>2024-07-01</c:v>
                </c:pt>
                <c:pt idx="28">
                  <c:v>2024-11-11</c:v>
                </c:pt>
                <c:pt idx="29">
                  <c:v>2024-12-16</c:v>
                </c:pt>
                <c:pt idx="30">
                  <c:v>2024-12-23</c:v>
                </c:pt>
                <c:pt idx="31">
                  <c:v>2025-01-13</c:v>
                </c:pt>
                <c:pt idx="32">
                  <c:v>2024-07-08</c:v>
                </c:pt>
                <c:pt idx="33">
                  <c:v>2024-09-30</c:v>
                </c:pt>
                <c:pt idx="34">
                  <c:v>2025-05-12</c:v>
                </c:pt>
                <c:pt idx="35">
                  <c:v>2024-12-02</c:v>
                </c:pt>
                <c:pt idx="36">
                  <c:v>2024-09-23</c:v>
                </c:pt>
                <c:pt idx="37">
                  <c:v>2025-02-17</c:v>
                </c:pt>
                <c:pt idx="38">
                  <c:v>2025-03-10</c:v>
                </c:pt>
                <c:pt idx="39">
                  <c:v>2024-10-07</c:v>
                </c:pt>
                <c:pt idx="40">
                  <c:v>2025-04-28</c:v>
                </c:pt>
                <c:pt idx="41">
                  <c:v>2024-07-29</c:v>
                </c:pt>
                <c:pt idx="42">
                  <c:v>2024-11-04</c:v>
                </c:pt>
                <c:pt idx="43">
                  <c:v>2025-05-05</c:v>
                </c:pt>
                <c:pt idx="44">
                  <c:v>2024-12-09</c:v>
                </c:pt>
                <c:pt idx="45">
                  <c:v>2025-03-31</c:v>
                </c:pt>
                <c:pt idx="46">
                  <c:v>2024-09-16</c:v>
                </c:pt>
                <c:pt idx="47">
                  <c:v>2024-08-05</c:v>
                </c:pt>
                <c:pt idx="48">
                  <c:v>2024-07-15</c:v>
                </c:pt>
                <c:pt idx="49">
                  <c:v>2025-02-10</c:v>
                </c:pt>
              </c:strCache>
            </c:strRef>
          </c:cat>
          <c:val>
            <c:numRef>
              <c:f>'Task 6.2'!$E$3:$E$53</c:f>
              <c:numCache>
                <c:formatCode>General</c:formatCode>
                <c:ptCount val="50"/>
                <c:pt idx="0">
                  <c:v>9082</c:v>
                </c:pt>
                <c:pt idx="1">
                  <c:v>6918</c:v>
                </c:pt>
                <c:pt idx="2">
                  <c:v>15359</c:v>
                </c:pt>
                <c:pt idx="3">
                  <c:v>5143</c:v>
                </c:pt>
                <c:pt idx="4">
                  <c:v>8653</c:v>
                </c:pt>
                <c:pt idx="5">
                  <c:v>12447</c:v>
                </c:pt>
                <c:pt idx="7">
                  <c:v>7654</c:v>
                </c:pt>
                <c:pt idx="8">
                  <c:v>12442</c:v>
                </c:pt>
                <c:pt idx="9">
                  <c:v>15994</c:v>
                </c:pt>
                <c:pt idx="10">
                  <c:v>8601</c:v>
                </c:pt>
                <c:pt idx="11">
                  <c:v>7033</c:v>
                </c:pt>
                <c:pt idx="13">
                  <c:v>4189</c:v>
                </c:pt>
                <c:pt idx="14">
                  <c:v>11613</c:v>
                </c:pt>
                <c:pt idx="17">
                  <c:v>7115</c:v>
                </c:pt>
                <c:pt idx="18">
                  <c:v>9427</c:v>
                </c:pt>
                <c:pt idx="19">
                  <c:v>7478</c:v>
                </c:pt>
                <c:pt idx="24">
                  <c:v>5303</c:v>
                </c:pt>
                <c:pt idx="25">
                  <c:v>6434</c:v>
                </c:pt>
                <c:pt idx="26">
                  <c:v>6631</c:v>
                </c:pt>
                <c:pt idx="28">
                  <c:v>5220</c:v>
                </c:pt>
                <c:pt idx="30">
                  <c:v>7328</c:v>
                </c:pt>
                <c:pt idx="31">
                  <c:v>1001</c:v>
                </c:pt>
                <c:pt idx="35">
                  <c:v>3929</c:v>
                </c:pt>
                <c:pt idx="38">
                  <c:v>3555</c:v>
                </c:pt>
                <c:pt idx="39">
                  <c:v>10348</c:v>
                </c:pt>
                <c:pt idx="41">
                  <c:v>3445</c:v>
                </c:pt>
                <c:pt idx="42">
                  <c:v>3056</c:v>
                </c:pt>
                <c:pt idx="43">
                  <c:v>5210</c:v>
                </c:pt>
                <c:pt idx="44">
                  <c:v>4790</c:v>
                </c:pt>
                <c:pt idx="45">
                  <c:v>1567</c:v>
                </c:pt>
                <c:pt idx="46">
                  <c:v>9308</c:v>
                </c:pt>
                <c:pt idx="47">
                  <c:v>2543</c:v>
                </c:pt>
                <c:pt idx="48">
                  <c:v>1826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DAC-4D30-A02C-836988F23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438095"/>
        <c:axId val="285436175"/>
      </c:lineChart>
      <c:catAx>
        <c:axId val="28543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436175"/>
        <c:crosses val="autoZero"/>
        <c:auto val="1"/>
        <c:lblAlgn val="ctr"/>
        <c:lblOffset val="100"/>
        <c:noMultiLvlLbl val="0"/>
      </c:catAx>
      <c:valAx>
        <c:axId val="285436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43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6 - Follower Retention and Loyalty .xlsx]Task 6.3 - Moving Averages!PivotTable4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3 - Week</a:t>
            </a:r>
            <a:r>
              <a:rPr lang="en-IN" sz="1600"/>
              <a:t> </a:t>
            </a:r>
            <a:r>
              <a:rPr lang="en-IN"/>
              <a:t>Moving Averages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noFill/>
            <a:round/>
            <a:headEnd type="none" w="sm" len="med"/>
            <a:tailEnd type="none" w="sm" len="med"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noFill/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noFill/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noFill/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noFill/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ln w="31750" cap="rnd">
            <a:noFill/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6.3 - Moving Averages'!$B$1:$B$2</c:f>
              <c:strCache>
                <c:ptCount val="1"/>
                <c:pt idx="0">
                  <c:v>YouTube</c:v>
                </c:pt>
              </c:strCache>
            </c:strRef>
          </c:tx>
          <c:spPr>
            <a:ln w="3175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31750" cap="flat">
                <a:solidFill>
                  <a:schemeClr val="accent1"/>
                </a:solidFill>
                <a:bevel/>
                <a:headEnd type="diamond" w="sm" len="med"/>
                <a:tailEnd type="diamond" w="sm" len="med"/>
              </a:ln>
              <a:effectLst/>
            </c:spPr>
            <c:trendlineType val="movingAvg"/>
            <c:period val="3"/>
            <c:dispRSqr val="0"/>
            <c:dispEq val="0"/>
          </c:trendline>
          <c:cat>
            <c:strRef>
              <c:f>'Task 6.3 - Moving Averages'!$A$3:$A$53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2024-10-28</c:v>
                </c:pt>
                <c:pt idx="21">
                  <c:v>2024-10-21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'Task 6.3 - Moving Averages'!$B$3:$B$53</c:f>
              <c:numCache>
                <c:formatCode>General</c:formatCode>
                <c:ptCount val="50"/>
                <c:pt idx="0">
                  <c:v>15994</c:v>
                </c:pt>
                <c:pt idx="1">
                  <c:v>7478</c:v>
                </c:pt>
                <c:pt idx="3">
                  <c:v>8653</c:v>
                </c:pt>
                <c:pt idx="6">
                  <c:v>1826</c:v>
                </c:pt>
                <c:pt idx="7">
                  <c:v>9082</c:v>
                </c:pt>
                <c:pt idx="8">
                  <c:v>3445</c:v>
                </c:pt>
                <c:pt idx="9">
                  <c:v>2543</c:v>
                </c:pt>
                <c:pt idx="10">
                  <c:v>7033</c:v>
                </c:pt>
                <c:pt idx="11">
                  <c:v>9427</c:v>
                </c:pt>
                <c:pt idx="12">
                  <c:v>5303</c:v>
                </c:pt>
                <c:pt idx="14">
                  <c:v>11613</c:v>
                </c:pt>
                <c:pt idx="15">
                  <c:v>9308</c:v>
                </c:pt>
                <c:pt idx="18">
                  <c:v>10348</c:v>
                </c:pt>
                <c:pt idx="19">
                  <c:v>7115</c:v>
                </c:pt>
                <c:pt idx="20">
                  <c:v>12442</c:v>
                </c:pt>
                <c:pt idx="21">
                  <c:v>6918</c:v>
                </c:pt>
                <c:pt idx="22">
                  <c:v>3056</c:v>
                </c:pt>
                <c:pt idx="23">
                  <c:v>5220</c:v>
                </c:pt>
                <c:pt idx="25">
                  <c:v>5143</c:v>
                </c:pt>
                <c:pt idx="26">
                  <c:v>3929</c:v>
                </c:pt>
                <c:pt idx="27">
                  <c:v>4790</c:v>
                </c:pt>
                <c:pt idx="29">
                  <c:v>7328</c:v>
                </c:pt>
                <c:pt idx="31">
                  <c:v>8601</c:v>
                </c:pt>
                <c:pt idx="32">
                  <c:v>1001</c:v>
                </c:pt>
                <c:pt idx="33">
                  <c:v>7654</c:v>
                </c:pt>
                <c:pt idx="35">
                  <c:v>12447</c:v>
                </c:pt>
                <c:pt idx="38">
                  <c:v>15359</c:v>
                </c:pt>
                <c:pt idx="39">
                  <c:v>6631</c:v>
                </c:pt>
                <c:pt idx="40">
                  <c:v>3555</c:v>
                </c:pt>
                <c:pt idx="42">
                  <c:v>4189</c:v>
                </c:pt>
                <c:pt idx="43">
                  <c:v>1567</c:v>
                </c:pt>
                <c:pt idx="44">
                  <c:v>6434</c:v>
                </c:pt>
                <c:pt idx="48">
                  <c:v>5210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8-4820-BD48-A0D923A8C9F9}"/>
            </c:ext>
          </c:extLst>
        </c:ser>
        <c:ser>
          <c:idx val="1"/>
          <c:order val="1"/>
          <c:tx>
            <c:strRef>
              <c:f>'Task 6.3 - Moving Averages'!$C$1:$C$2</c:f>
              <c:strCache>
                <c:ptCount val="1"/>
                <c:pt idx="0">
                  <c:v>Twitter</c:v>
                </c:pt>
              </c:strCache>
            </c:strRef>
          </c:tx>
          <c:spPr>
            <a:ln w="3175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31750" cap="sq">
                <a:solidFill>
                  <a:schemeClr val="accent2"/>
                </a:solidFill>
                <a:bevel/>
                <a:headEnd type="diamond" w="sm" len="med"/>
                <a:tailEnd type="diamond" w="sm" len="med"/>
              </a:ln>
              <a:effectLst/>
            </c:spPr>
            <c:trendlineType val="movingAvg"/>
            <c:period val="3"/>
            <c:dispRSqr val="0"/>
            <c:dispEq val="0"/>
          </c:trendline>
          <c:cat>
            <c:strRef>
              <c:f>'Task 6.3 - Moving Averages'!$A$3:$A$53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2024-10-28</c:v>
                </c:pt>
                <c:pt idx="21">
                  <c:v>2024-10-21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'Task 6.3 - Moving Averages'!$C$3:$C$53</c:f>
              <c:numCache>
                <c:formatCode>General</c:formatCode>
                <c:ptCount val="50"/>
                <c:pt idx="0">
                  <c:v>7432</c:v>
                </c:pt>
                <c:pt idx="1">
                  <c:v>8369</c:v>
                </c:pt>
                <c:pt idx="2">
                  <c:v>6073</c:v>
                </c:pt>
                <c:pt idx="3">
                  <c:v>15084</c:v>
                </c:pt>
                <c:pt idx="4">
                  <c:v>8463</c:v>
                </c:pt>
                <c:pt idx="5">
                  <c:v>7151</c:v>
                </c:pt>
                <c:pt idx="6">
                  <c:v>7092</c:v>
                </c:pt>
                <c:pt idx="7">
                  <c:v>7733</c:v>
                </c:pt>
                <c:pt idx="8">
                  <c:v>6039</c:v>
                </c:pt>
                <c:pt idx="9">
                  <c:v>3497</c:v>
                </c:pt>
                <c:pt idx="10">
                  <c:v>12800</c:v>
                </c:pt>
                <c:pt idx="12">
                  <c:v>5753</c:v>
                </c:pt>
                <c:pt idx="13">
                  <c:v>6593</c:v>
                </c:pt>
                <c:pt idx="15">
                  <c:v>3925</c:v>
                </c:pt>
                <c:pt idx="16">
                  <c:v>4942</c:v>
                </c:pt>
                <c:pt idx="17">
                  <c:v>8530</c:v>
                </c:pt>
                <c:pt idx="19">
                  <c:v>16256</c:v>
                </c:pt>
                <c:pt idx="22">
                  <c:v>8687</c:v>
                </c:pt>
                <c:pt idx="23">
                  <c:v>9649</c:v>
                </c:pt>
                <c:pt idx="24">
                  <c:v>6384</c:v>
                </c:pt>
                <c:pt idx="27">
                  <c:v>6642</c:v>
                </c:pt>
                <c:pt idx="28">
                  <c:v>6275</c:v>
                </c:pt>
                <c:pt idx="30">
                  <c:v>3079</c:v>
                </c:pt>
                <c:pt idx="31">
                  <c:v>9202</c:v>
                </c:pt>
                <c:pt idx="32">
                  <c:v>7346</c:v>
                </c:pt>
                <c:pt idx="33">
                  <c:v>20155</c:v>
                </c:pt>
                <c:pt idx="34">
                  <c:v>11789</c:v>
                </c:pt>
                <c:pt idx="35">
                  <c:v>16086</c:v>
                </c:pt>
                <c:pt idx="36">
                  <c:v>1020</c:v>
                </c:pt>
                <c:pt idx="37">
                  <c:v>1290</c:v>
                </c:pt>
                <c:pt idx="39">
                  <c:v>6326</c:v>
                </c:pt>
                <c:pt idx="40">
                  <c:v>8723</c:v>
                </c:pt>
                <c:pt idx="43">
                  <c:v>6272</c:v>
                </c:pt>
                <c:pt idx="44">
                  <c:v>8319</c:v>
                </c:pt>
                <c:pt idx="46">
                  <c:v>7058</c:v>
                </c:pt>
                <c:pt idx="47">
                  <c:v>15937</c:v>
                </c:pt>
                <c:pt idx="49">
                  <c:v>7436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88-4820-BD48-A0D923A8C9F9}"/>
            </c:ext>
          </c:extLst>
        </c:ser>
        <c:ser>
          <c:idx val="2"/>
          <c:order val="2"/>
          <c:tx>
            <c:strRef>
              <c:f>'Task 6.3 - Moving Averages'!$D$1:$D$2</c:f>
              <c:strCache>
                <c:ptCount val="1"/>
                <c:pt idx="0">
                  <c:v>LinkedIn</c:v>
                </c:pt>
              </c:strCache>
            </c:strRef>
          </c:tx>
          <c:spPr>
            <a:ln w="3175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31750" cap="sq">
                <a:solidFill>
                  <a:schemeClr val="accent3"/>
                </a:solidFill>
                <a:bevel/>
                <a:headEnd type="diamond" w="sm" len="med"/>
                <a:tailEnd type="diamond" w="sm" len="med"/>
              </a:ln>
              <a:effectLst/>
            </c:spPr>
            <c:trendlineType val="movingAvg"/>
            <c:period val="3"/>
            <c:dispRSqr val="0"/>
            <c:dispEq val="0"/>
          </c:trendline>
          <c:cat>
            <c:strRef>
              <c:f>'Task 6.3 - Moving Averages'!$A$3:$A$53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2024-10-28</c:v>
                </c:pt>
                <c:pt idx="21">
                  <c:v>2024-10-21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'Task 6.3 - Moving Averages'!$D$3:$D$53</c:f>
              <c:numCache>
                <c:formatCode>General</c:formatCode>
                <c:ptCount val="50"/>
                <c:pt idx="2">
                  <c:v>6728</c:v>
                </c:pt>
                <c:pt idx="4">
                  <c:v>5442</c:v>
                </c:pt>
                <c:pt idx="5">
                  <c:v>11378</c:v>
                </c:pt>
                <c:pt idx="7">
                  <c:v>15403</c:v>
                </c:pt>
                <c:pt idx="8">
                  <c:v>7537</c:v>
                </c:pt>
                <c:pt idx="9">
                  <c:v>4847</c:v>
                </c:pt>
                <c:pt idx="12">
                  <c:v>1513</c:v>
                </c:pt>
                <c:pt idx="13">
                  <c:v>8228</c:v>
                </c:pt>
                <c:pt idx="14">
                  <c:v>6121</c:v>
                </c:pt>
                <c:pt idx="15">
                  <c:v>2199</c:v>
                </c:pt>
                <c:pt idx="18">
                  <c:v>2421</c:v>
                </c:pt>
                <c:pt idx="20">
                  <c:v>14812</c:v>
                </c:pt>
                <c:pt idx="22">
                  <c:v>4942</c:v>
                </c:pt>
                <c:pt idx="23">
                  <c:v>4882</c:v>
                </c:pt>
                <c:pt idx="24">
                  <c:v>9648</c:v>
                </c:pt>
                <c:pt idx="25">
                  <c:v>8945</c:v>
                </c:pt>
                <c:pt idx="26">
                  <c:v>5402</c:v>
                </c:pt>
                <c:pt idx="27">
                  <c:v>949</c:v>
                </c:pt>
                <c:pt idx="28">
                  <c:v>8527</c:v>
                </c:pt>
                <c:pt idx="29">
                  <c:v>7541</c:v>
                </c:pt>
                <c:pt idx="30">
                  <c:v>16577</c:v>
                </c:pt>
                <c:pt idx="31">
                  <c:v>9254</c:v>
                </c:pt>
                <c:pt idx="32">
                  <c:v>7471</c:v>
                </c:pt>
                <c:pt idx="34">
                  <c:v>7260</c:v>
                </c:pt>
                <c:pt idx="36">
                  <c:v>12622</c:v>
                </c:pt>
                <c:pt idx="37">
                  <c:v>5101</c:v>
                </c:pt>
                <c:pt idx="39">
                  <c:v>7432</c:v>
                </c:pt>
                <c:pt idx="40">
                  <c:v>2535</c:v>
                </c:pt>
                <c:pt idx="41">
                  <c:v>19728</c:v>
                </c:pt>
                <c:pt idx="42">
                  <c:v>21227</c:v>
                </c:pt>
                <c:pt idx="43">
                  <c:v>1660</c:v>
                </c:pt>
                <c:pt idx="44">
                  <c:v>4542</c:v>
                </c:pt>
                <c:pt idx="45">
                  <c:v>24995</c:v>
                </c:pt>
                <c:pt idx="47">
                  <c:v>1512</c:v>
                </c:pt>
                <c:pt idx="48">
                  <c:v>2960</c:v>
                </c:pt>
                <c:pt idx="49">
                  <c:v>8146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F88-4820-BD48-A0D923A8C9F9}"/>
            </c:ext>
          </c:extLst>
        </c:ser>
        <c:ser>
          <c:idx val="3"/>
          <c:order val="3"/>
          <c:tx>
            <c:strRef>
              <c:f>'Task 6.3 - Moving Averages'!$E$1:$E$2</c:f>
              <c:strCache>
                <c:ptCount val="1"/>
                <c:pt idx="0">
                  <c:v>Instagram</c:v>
                </c:pt>
              </c:strCache>
            </c:strRef>
          </c:tx>
          <c:spPr>
            <a:ln w="31750" cap="rnd">
              <a:noFill/>
              <a:round/>
              <a:headEnd type="none" w="sm" len="med"/>
              <a:tailEnd type="none" w="sm" len="med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31750" cap="flat">
                <a:solidFill>
                  <a:schemeClr val="accent4"/>
                </a:solidFill>
                <a:bevel/>
                <a:headEnd type="diamond" w="sm" len="med"/>
                <a:tailEnd type="diamond" w="sm" len="med"/>
              </a:ln>
              <a:effectLst/>
            </c:spPr>
            <c:trendlineType val="movingAvg"/>
            <c:period val="3"/>
            <c:dispRSqr val="0"/>
            <c:dispEq val="0"/>
          </c:trendline>
          <c:cat>
            <c:strRef>
              <c:f>'Task 6.3 - Moving Averages'!$A$3:$A$53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2024-10-28</c:v>
                </c:pt>
                <c:pt idx="21">
                  <c:v>2024-10-21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'Task 6.3 - Moving Averages'!$E$3:$E$53</c:f>
              <c:numCache>
                <c:formatCode>General</c:formatCode>
                <c:ptCount val="50"/>
                <c:pt idx="0">
                  <c:v>3777</c:v>
                </c:pt>
                <c:pt idx="1">
                  <c:v>7215</c:v>
                </c:pt>
                <c:pt idx="2">
                  <c:v>13130</c:v>
                </c:pt>
                <c:pt idx="3">
                  <c:v>4885</c:v>
                </c:pt>
                <c:pt idx="4">
                  <c:v>5928</c:v>
                </c:pt>
                <c:pt idx="6">
                  <c:v>4967</c:v>
                </c:pt>
                <c:pt idx="9">
                  <c:v>3213</c:v>
                </c:pt>
                <c:pt idx="10">
                  <c:v>6853</c:v>
                </c:pt>
                <c:pt idx="11">
                  <c:v>13835</c:v>
                </c:pt>
                <c:pt idx="12">
                  <c:v>8231</c:v>
                </c:pt>
                <c:pt idx="13">
                  <c:v>7396</c:v>
                </c:pt>
                <c:pt idx="14">
                  <c:v>7442</c:v>
                </c:pt>
                <c:pt idx="16">
                  <c:v>13040</c:v>
                </c:pt>
                <c:pt idx="17">
                  <c:v>9904</c:v>
                </c:pt>
                <c:pt idx="18">
                  <c:v>4808</c:v>
                </c:pt>
                <c:pt idx="21">
                  <c:v>23973</c:v>
                </c:pt>
                <c:pt idx="24">
                  <c:v>5206</c:v>
                </c:pt>
                <c:pt idx="25">
                  <c:v>14537</c:v>
                </c:pt>
                <c:pt idx="26">
                  <c:v>8999</c:v>
                </c:pt>
                <c:pt idx="27">
                  <c:v>3461</c:v>
                </c:pt>
                <c:pt idx="28">
                  <c:v>4802</c:v>
                </c:pt>
                <c:pt idx="29">
                  <c:v>4314</c:v>
                </c:pt>
                <c:pt idx="30">
                  <c:v>4214</c:v>
                </c:pt>
                <c:pt idx="32">
                  <c:v>2919</c:v>
                </c:pt>
                <c:pt idx="34">
                  <c:v>3643</c:v>
                </c:pt>
                <c:pt idx="37">
                  <c:v>11468</c:v>
                </c:pt>
                <c:pt idx="38">
                  <c:v>15087</c:v>
                </c:pt>
                <c:pt idx="40">
                  <c:v>2994</c:v>
                </c:pt>
                <c:pt idx="41">
                  <c:v>8292</c:v>
                </c:pt>
                <c:pt idx="43">
                  <c:v>6128</c:v>
                </c:pt>
                <c:pt idx="44">
                  <c:v>1425</c:v>
                </c:pt>
                <c:pt idx="46">
                  <c:v>15012</c:v>
                </c:pt>
                <c:pt idx="48">
                  <c:v>7959</c:v>
                </c:pt>
                <c:pt idx="49">
                  <c:v>2805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F88-4820-BD48-A0D923A8C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355055"/>
        <c:axId val="1161238479"/>
      </c:lineChart>
      <c:catAx>
        <c:axId val="107355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Weekly</a:t>
                </a:r>
                <a:r>
                  <a:rPr lang="en-IN" b="1" baseline="0"/>
                  <a:t> START DATE --------------&gt;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2346046471913783"/>
              <c:y val="0.91818698101333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238479"/>
        <c:crosses val="autoZero"/>
        <c:auto val="1"/>
        <c:lblAlgn val="ctr"/>
        <c:lblOffset val="100"/>
        <c:noMultiLvlLbl val="0"/>
      </c:catAx>
      <c:valAx>
        <c:axId val="11612384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</a:t>
                </a:r>
                <a:r>
                  <a:rPr lang="en-IN" baseline="0"/>
                  <a:t> FOLLOWERS GAIN --------------&gt;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9.4295143800094301E-3"/>
              <c:y val="0.1649448204939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5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Ad_Spend vs Net Followers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'Task 6.4'!$F$3:$F$6</c:f>
              <c:strCache>
                <c:ptCount val="4"/>
                <c:pt idx="0">
                  <c:v>Twitter</c:v>
                </c:pt>
                <c:pt idx="1">
                  <c:v>LinkedIn</c:v>
                </c:pt>
                <c:pt idx="2">
                  <c:v>Instagram</c:v>
                </c:pt>
                <c:pt idx="3">
                  <c:v>YouTube</c:v>
                </c:pt>
              </c:strCache>
            </c:strRef>
          </c:xVal>
          <c:yVal>
            <c:numRef>
              <c:f>'Task 6.4'!$G$3:$G$6</c:f>
              <c:numCache>
                <c:formatCode>#,##0</c:formatCode>
                <c:ptCount val="4"/>
                <c:pt idx="0">
                  <c:v>303407</c:v>
                </c:pt>
                <c:pt idx="1">
                  <c:v>290487</c:v>
                </c:pt>
                <c:pt idx="2">
                  <c:v>261862</c:v>
                </c:pt>
                <c:pt idx="3">
                  <c:v>230642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92-4124-A084-F9D383871CB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'Task 6.4'!$F$3:$F$6</c:f>
              <c:strCache>
                <c:ptCount val="4"/>
                <c:pt idx="0">
                  <c:v>Twitter</c:v>
                </c:pt>
                <c:pt idx="1">
                  <c:v>LinkedIn</c:v>
                </c:pt>
                <c:pt idx="2">
                  <c:v>Instagram</c:v>
                </c:pt>
                <c:pt idx="3">
                  <c:v>YouTube</c:v>
                </c:pt>
              </c:strCache>
            </c:strRef>
          </c:xVal>
          <c:yVal>
            <c:numRef>
              <c:f>'Task 6.4'!$H$3:$H$6</c:f>
              <c:numCache>
                <c:formatCode>#,##0</c:formatCode>
                <c:ptCount val="4"/>
                <c:pt idx="0">
                  <c:v>1874083</c:v>
                </c:pt>
                <c:pt idx="1">
                  <c:v>1990523</c:v>
                </c:pt>
                <c:pt idx="2">
                  <c:v>1775883</c:v>
                </c:pt>
                <c:pt idx="3">
                  <c:v>1286371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92-4124-A084-F9D383871CB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70253983"/>
        <c:axId val="1170250623"/>
      </c:scatterChart>
      <c:valAx>
        <c:axId val="1170253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250623"/>
        <c:crosses val="autoZero"/>
        <c:crossBetween val="midCat"/>
      </c:valAx>
      <c:valAx>
        <c:axId val="117025062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253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2</xdr:row>
      <xdr:rowOff>186690</xdr:rowOff>
    </xdr:from>
    <xdr:to>
      <xdr:col>15</xdr:col>
      <xdr:colOff>381000</xdr:colOff>
      <xdr:row>20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8ADD8E-4919-5479-63B6-2F11451E6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1</xdr:row>
      <xdr:rowOff>80010</xdr:rowOff>
    </xdr:from>
    <xdr:to>
      <xdr:col>12</xdr:col>
      <xdr:colOff>693420</xdr:colOff>
      <xdr:row>15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B7B6EA-E3A5-6978-DE3A-1022F2606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</xdr:colOff>
      <xdr:row>1</xdr:row>
      <xdr:rowOff>182880</xdr:rowOff>
    </xdr:from>
    <xdr:to>
      <xdr:col>14</xdr:col>
      <xdr:colOff>701040</xdr:colOff>
      <xdr:row>19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F98F6A-57D0-168F-31BF-BE23E21BC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640080</xdr:colOff>
      <xdr:row>7</xdr:row>
      <xdr:rowOff>64770</xdr:rowOff>
    </xdr:from>
    <xdr:to>
      <xdr:col>13</xdr:col>
      <xdr:colOff>327660</xdr:colOff>
      <xdr:row>22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1B4E04-865D-4FC0-CE4A-1B6237034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YA SAVARAM" refreshedDate="45981.669313425926" backgroundQuery="1" createdVersion="8" refreshedVersion="8" minRefreshableVersion="3" recordCount="200" xr:uid="{4523B746-ACDF-452B-A5D7-B8EFF6735C5A}">
  <cacheSource type="external" connectionId="1"/>
  <cacheFields count="11">
    <cacheField name="Week_Start_Date" numFmtId="0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0"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Net_followers" numFmtId="0">
      <sharedItems containsSemiMixedTypes="0" containsString="0" containsNumber="1" containsInteger="1" minValue="893" maxValue="9335" count="198">
        <n v="3777"/>
        <n v="7432"/>
        <n v="8123"/>
        <n v="7871"/>
        <n v="7215"/>
        <n v="7478"/>
        <n v="4934"/>
        <n v="3435"/>
        <n v="7452"/>
        <n v="6073"/>
        <n v="6728"/>
        <n v="5678"/>
        <n v="8654"/>
        <n v="4885"/>
        <n v="8653"/>
        <n v="6430"/>
        <n v="5442"/>
        <n v="8463"/>
        <n v="3202"/>
        <n v="2726"/>
        <n v="7151"/>
        <n v="1918"/>
        <n v="6236"/>
        <n v="3224"/>
        <n v="3586"/>
        <n v="7092"/>
        <n v="1826"/>
        <n v="1381"/>
        <n v="7429"/>
        <n v="7733"/>
        <n v="7974"/>
        <n v="9082"/>
        <n v="1741"/>
        <n v="5796"/>
        <n v="3445"/>
        <n v="6039"/>
        <n v="3213"/>
        <n v="3497"/>
        <n v="2543"/>
        <n v="4847"/>
        <n v="5795"/>
        <n v="6853"/>
        <n v="7033"/>
        <n v="7005"/>
        <n v="6920"/>
        <n v="5071"/>
        <n v="6915"/>
        <n v="4356"/>
        <n v="1513"/>
        <n v="5753"/>
        <n v="8231"/>
        <n v="5303"/>
        <n v="5520"/>
        <n v="1876"/>
        <n v="6593"/>
        <n v="8228"/>
        <n v="7442"/>
        <n v="9118"/>
        <n v="2495"/>
        <n v="6121"/>
        <n v="7224"/>
        <n v="2199"/>
        <n v="2084"/>
        <n v="3925"/>
        <n v="1309"/>
        <n v="4942"/>
        <n v="4027"/>
        <n v="7704"/>
        <n v="8361"/>
        <n v="5698"/>
        <n v="1543"/>
        <n v="2832"/>
        <n v="2421"/>
        <n v="6201"/>
        <n v="4147"/>
        <n v="4808"/>
        <n v="7767"/>
        <n v="7115"/>
        <n v="3011"/>
        <n v="5478"/>
        <n v="7565"/>
        <n v="6918"/>
        <n v="7921"/>
        <n v="8487"/>
        <n v="6439"/>
        <n v="6003"/>
        <n v="6452"/>
        <n v="8360"/>
        <n v="7218"/>
        <n v="3056"/>
        <n v="1469"/>
        <n v="1017"/>
        <n v="8632"/>
        <n v="4882"/>
        <n v="5220"/>
        <n v="5206"/>
        <n v="6384"/>
        <n v="3179"/>
        <n v="6469"/>
        <n v="8485"/>
        <n v="6052"/>
        <n v="8945"/>
        <n v="5143"/>
        <n v="1369"/>
        <n v="5402"/>
        <n v="7630"/>
        <n v="3929"/>
        <n v="6642"/>
        <n v="3461"/>
        <n v="4790"/>
        <n v="949"/>
        <n v="3592"/>
        <n v="1210"/>
        <n v="8527"/>
        <n v="6275"/>
        <n v="1367"/>
        <n v="4314"/>
        <n v="6174"/>
        <n v="7328"/>
        <n v="8200"/>
        <n v="4214"/>
        <n v="8377"/>
        <n v="3079"/>
        <n v="9254"/>
        <n v="7668"/>
        <n v="8601"/>
        <n v="1534"/>
        <n v="7471"/>
        <n v="2919"/>
        <n v="7346"/>
        <n v="1001"/>
        <n v="8518"/>
        <n v="7421"/>
        <n v="4216"/>
        <n v="7654"/>
        <n v="7260"/>
        <n v="6361"/>
        <n v="5428"/>
        <n v="3643"/>
        <n v="3805"/>
        <n v="8128"/>
        <n v="8642"/>
        <n v="7958"/>
        <n v="3420"/>
        <n v="2525"/>
        <n v="1020"/>
        <n v="6677"/>
        <n v="1290"/>
        <n v="5101"/>
        <n v="5439"/>
        <n v="6029"/>
        <n v="9125"/>
        <n v="8979"/>
        <n v="6380"/>
        <n v="5962"/>
        <n v="6631"/>
        <n v="2081"/>
        <n v="4245"/>
        <n v="8723"/>
        <n v="2994"/>
        <n v="3555"/>
        <n v="2535"/>
        <n v="7509"/>
        <n v="8292"/>
        <n v="4852"/>
        <n v="7367"/>
        <n v="9044"/>
        <n v="2848"/>
        <n v="4189"/>
        <n v="9335"/>
        <n v="6272"/>
        <n v="6128"/>
        <n v="1567"/>
        <n v="1660"/>
        <n v="6434"/>
        <n v="4542"/>
        <n v="8319"/>
        <n v="1425"/>
        <n v="7849"/>
        <n v="6368"/>
        <n v="4788"/>
        <n v="5990"/>
        <n v="5491"/>
        <n v="6425"/>
        <n v="7058"/>
        <n v="3096"/>
        <n v="1512"/>
        <n v="2926"/>
        <n v="7555"/>
        <n v="5456"/>
        <n v="893"/>
        <n v="5210"/>
        <n v="2067"/>
        <n v="7959"/>
        <n v="2805"/>
        <n v="7025"/>
        <n v="1121"/>
        <n v="7436"/>
      </sharedItems>
    </cacheField>
    <cacheField name="Ad_Spend" numFmtId="0">
      <sharedItems containsSemiMixedTypes="0" containsString="0" containsNumber="1" containsInteger="1" minValue="10161" maxValue="59823" count="198">
        <n v="23944"/>
        <n v="29873"/>
        <n v="50372"/>
        <n v="33928"/>
        <n v="25379"/>
        <n v="46751"/>
        <n v="44546"/>
        <n v="34286"/>
        <n v="15110"/>
        <n v="22087"/>
        <n v="33762"/>
        <n v="27081"/>
        <n v="44947"/>
        <n v="19596"/>
        <n v="48019"/>
        <n v="52003"/>
        <n v="28313"/>
        <n v="57639"/>
        <n v="11013"/>
        <n v="59378"/>
        <n v="33705"/>
        <n v="11828"/>
        <n v="17909"/>
        <n v="48356"/>
        <n v="23109"/>
        <n v="12023"/>
        <n v="24537"/>
        <n v="36661"/>
        <n v="48659"/>
        <n v="43848"/>
        <n v="47804"/>
        <n v="37766"/>
        <n v="53590"/>
        <n v="12563"/>
        <n v="46060"/>
        <n v="39197"/>
        <n v="13586"/>
        <n v="26087"/>
        <n v="58868"/>
        <n v="33225"/>
        <n v="39750"/>
        <n v="16643"/>
        <n v="37523"/>
        <n v="46727"/>
        <n v="21005"/>
        <n v="53543"/>
        <n v="10161"/>
        <n v="26029"/>
        <n v="59745"/>
        <n v="24226"/>
        <n v="38731"/>
        <n v="53922"/>
        <n v="54848"/>
        <n v="13390"/>
        <n v="15997"/>
        <n v="22693"/>
        <n v="59815"/>
        <n v="52092"/>
        <n v="10541"/>
        <n v="31817"/>
        <n v="47861"/>
        <n v="23428"/>
        <n v="53934"/>
        <n v="58831"/>
        <n v="20258"/>
        <n v="26044"/>
        <n v="39411"/>
        <n v="15469"/>
        <n v="38854"/>
        <n v="16256"/>
        <n v="20720"/>
        <n v="43937"/>
        <n v="43598"/>
        <n v="11651"/>
        <n v="29194"/>
        <n v="35051"/>
        <n v="37386"/>
        <n v="19518"/>
        <n v="56026"/>
        <n v="26184"/>
        <n v="43787"/>
        <n v="31621"/>
        <n v="20028"/>
        <n v="22448"/>
        <n v="55253"/>
        <n v="44051"/>
        <n v="59811"/>
        <n v="40447"/>
        <n v="28394"/>
        <n v="44501"/>
        <n v="40254"/>
        <n v="28509"/>
        <n v="58998"/>
        <n v="24472"/>
        <n v="55657"/>
        <n v="13471"/>
        <n v="51796"/>
        <n v="40268"/>
        <n v="18329"/>
        <n v="44865"/>
        <n v="56850"/>
        <n v="56698"/>
        <n v="38272"/>
        <n v="52845"/>
        <n v="16397"/>
        <n v="42373"/>
        <n v="45525"/>
        <n v="34570"/>
        <n v="28284"/>
        <n v="28994"/>
        <n v="33284"/>
        <n v="27833"/>
        <n v="35122"/>
        <n v="15017"/>
        <n v="26370"/>
        <n v="39252"/>
        <n v="17999"/>
        <n v="32436"/>
        <n v="52963"/>
        <n v="12096"/>
        <n v="58201"/>
        <n v="35279"/>
        <n v="53363"/>
        <n v="58709"/>
        <n v="36201"/>
        <n v="29715"/>
        <n v="39309"/>
        <n v="25078"/>
        <n v="15105"/>
        <n v="39312"/>
        <n v="12839"/>
        <n v="13384"/>
        <n v="53619"/>
        <n v="52821"/>
        <n v="23493"/>
        <n v="27069"/>
        <n v="56907"/>
        <n v="17531"/>
        <n v="47051"/>
        <n v="17736"/>
        <n v="17710"/>
        <n v="11619"/>
        <n v="23975"/>
        <n v="55603"/>
        <n v="33252"/>
        <n v="25261"/>
        <n v="11431"/>
        <n v="19067"/>
        <n v="47481"/>
        <n v="37037"/>
        <n v="19557"/>
        <n v="19435"/>
        <n v="47766"/>
        <n v="10162"/>
        <n v="44742"/>
        <n v="29675"/>
        <n v="18461"/>
        <n v="27015"/>
        <n v="42591"/>
        <n v="38047"/>
        <n v="44782"/>
        <n v="19833"/>
        <n v="17896"/>
        <n v="42972"/>
        <n v="59733"/>
        <n v="51800"/>
        <n v="40508"/>
        <n v="15347"/>
        <n v="40314"/>
        <n v="12643"/>
        <n v="50785"/>
        <n v="28681"/>
        <n v="48328"/>
        <n v="25892"/>
        <n v="57299"/>
        <n v="27073"/>
        <n v="46768"/>
        <n v="40682"/>
        <n v="42262"/>
        <n v="41358"/>
        <n v="24289"/>
        <n v="59823"/>
        <n v="17927"/>
        <n v="58330"/>
        <n v="11171"/>
        <n v="21918"/>
        <n v="51903"/>
        <n v="49110"/>
        <n v="21929"/>
        <n v="12539"/>
        <n v="55951"/>
        <n v="32669"/>
        <n v="15432"/>
        <n v="30644"/>
        <n v="28745"/>
        <n v="38228"/>
        <n v="44521"/>
        <n v="41703"/>
      </sharedItems>
    </cacheField>
    <cacheField name="Months (Week_Start_Date)" numFmtId="0" databaseField="0">
      <fieldGroup base="0">
        <rangePr groupBy="months" startDate="2024-06-03T00:00:00" endDate="2025-05-13T00:00:00"/>
        <groupItems count="14">
          <s v="&lt;6/3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3/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6/3/2024"/>
          <s v="Qtr1"/>
          <s v="Qtr2"/>
          <s v="Qtr3"/>
          <s v="Qtr4"/>
          <s v="&gt;5/13/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6/3/2024"/>
          <s v="2024"/>
          <s v="2025"/>
          <s v="&gt;5/13/2025"/>
        </groupItems>
      </fieldGroup>
    </cacheField>
  </cacheFields>
  <extLst>
    <ext xmlns:x14="http://schemas.microsoft.com/office/spreadsheetml/2009/9/main" uri="{725AE2AE-9491-48be-B2B4-4EB974FC3084}">
      <x14:pivotCacheDefinition pivotCacheId="4277130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4138"/>
    <n v="361"/>
    <n v="103777"/>
    <n v="56.637790647253247"/>
    <x v="0"/>
    <x v="0"/>
  </r>
  <r>
    <x v="0"/>
    <x v="1"/>
    <n v="8693"/>
    <n v="1261"/>
    <n v="111209"/>
    <n v="69.475492091467416"/>
    <x v="1"/>
    <x v="1"/>
  </r>
  <r>
    <x v="0"/>
    <x v="2"/>
    <n v="9264"/>
    <n v="1141"/>
    <n v="119332"/>
    <n v="92.312204605638044"/>
    <x v="2"/>
    <x v="2"/>
  </r>
  <r>
    <x v="0"/>
    <x v="2"/>
    <n v="8842"/>
    <n v="971"/>
    <n v="127203"/>
    <n v="16.351815601833291"/>
    <x v="3"/>
    <x v="3"/>
  </r>
  <r>
    <x v="1"/>
    <x v="0"/>
    <n v="7721"/>
    <n v="506"/>
    <n v="134418"/>
    <n v="35.577824398518047"/>
    <x v="4"/>
    <x v="4"/>
  </r>
  <r>
    <x v="1"/>
    <x v="2"/>
    <n v="8002"/>
    <n v="524"/>
    <n v="141896"/>
    <n v="52.064892597395271"/>
    <x v="5"/>
    <x v="5"/>
  </r>
  <r>
    <x v="1"/>
    <x v="1"/>
    <n v="5225"/>
    <n v="291"/>
    <n v="146830"/>
    <n v="19.551862698358651"/>
    <x v="6"/>
    <x v="6"/>
  </r>
  <r>
    <x v="1"/>
    <x v="1"/>
    <n v="3978"/>
    <n v="543"/>
    <n v="150265"/>
    <n v="49.159817655475329"/>
    <x v="7"/>
    <x v="7"/>
  </r>
  <r>
    <x v="2"/>
    <x v="0"/>
    <n v="8373"/>
    <n v="921"/>
    <n v="157717"/>
    <n v="12.2263294381709"/>
    <x v="8"/>
    <x v="8"/>
  </r>
  <r>
    <x v="2"/>
    <x v="1"/>
    <n v="6907"/>
    <n v="834"/>
    <n v="163790"/>
    <n v="54.158984064961238"/>
    <x v="9"/>
    <x v="9"/>
  </r>
  <r>
    <x v="2"/>
    <x v="3"/>
    <n v="7097"/>
    <n v="369"/>
    <n v="170518"/>
    <n v="9.2506362964613711"/>
    <x v="10"/>
    <x v="10"/>
  </r>
  <r>
    <x v="2"/>
    <x v="0"/>
    <n v="6656"/>
    <n v="978"/>
    <n v="176196"/>
    <n v="60.425889350496043"/>
    <x v="11"/>
    <x v="11"/>
  </r>
  <r>
    <x v="3"/>
    <x v="1"/>
    <n v="9984"/>
    <n v="1330"/>
    <n v="184850"/>
    <n v="57.524479307546663"/>
    <x v="12"/>
    <x v="12"/>
  </r>
  <r>
    <x v="3"/>
    <x v="0"/>
    <n v="5259"/>
    <n v="374"/>
    <n v="189735"/>
    <n v="14.827522597306769"/>
    <x v="13"/>
    <x v="13"/>
  </r>
  <r>
    <x v="3"/>
    <x v="2"/>
    <n v="9286"/>
    <n v="633"/>
    <n v="198388"/>
    <n v="5.4343004617214756"/>
    <x v="14"/>
    <x v="14"/>
  </r>
  <r>
    <x v="3"/>
    <x v="1"/>
    <n v="6901"/>
    <n v="471"/>
    <n v="204818"/>
    <n v="60.827661631301943"/>
    <x v="15"/>
    <x v="15"/>
  </r>
  <r>
    <x v="4"/>
    <x v="3"/>
    <n v="5917"/>
    <n v="475"/>
    <n v="210260"/>
    <n v="17.894035955483691"/>
    <x v="16"/>
    <x v="16"/>
  </r>
  <r>
    <x v="4"/>
    <x v="1"/>
    <n v="9429"/>
    <n v="966"/>
    <n v="218723"/>
    <n v="7.6914636320825887"/>
    <x v="17"/>
    <x v="17"/>
  </r>
  <r>
    <x v="4"/>
    <x v="0"/>
    <n v="3530"/>
    <n v="328"/>
    <n v="221925"/>
    <n v="12.8372197814577"/>
    <x v="18"/>
    <x v="18"/>
  </r>
  <r>
    <x v="4"/>
    <x v="0"/>
    <n v="2960"/>
    <n v="234"/>
    <n v="224651"/>
    <n v="17.41278694508371"/>
    <x v="19"/>
    <x v="19"/>
  </r>
  <r>
    <x v="5"/>
    <x v="1"/>
    <n v="8045"/>
    <n v="894"/>
    <n v="231802"/>
    <n v="47.634187798207087"/>
    <x v="20"/>
    <x v="20"/>
  </r>
  <r>
    <x v="5"/>
    <x v="3"/>
    <n v="2048"/>
    <n v="130"/>
    <n v="233720"/>
    <n v="39.284614068115687"/>
    <x v="21"/>
    <x v="21"/>
  </r>
  <r>
    <x v="5"/>
    <x v="3"/>
    <n v="6772"/>
    <n v="536"/>
    <n v="239956"/>
    <n v="9.8205504342462788"/>
    <x v="22"/>
    <x v="22"/>
  </r>
  <r>
    <x v="5"/>
    <x v="3"/>
    <n v="3529"/>
    <n v="305"/>
    <n v="243180"/>
    <n v="41.606628834608109"/>
    <x v="23"/>
    <x v="23"/>
  </r>
  <r>
    <x v="6"/>
    <x v="0"/>
    <n v="3964"/>
    <n v="378"/>
    <n v="246766"/>
    <n v="13.6355899921383"/>
    <x v="24"/>
    <x v="24"/>
  </r>
  <r>
    <x v="6"/>
    <x v="1"/>
    <n v="8137"/>
    <n v="1045"/>
    <n v="253858"/>
    <n v="20.47246886054408"/>
    <x v="25"/>
    <x v="25"/>
  </r>
  <r>
    <x v="6"/>
    <x v="2"/>
    <n v="1963"/>
    <n v="137"/>
    <n v="255684"/>
    <n v="11.2083665774941"/>
    <x v="26"/>
    <x v="26"/>
  </r>
  <r>
    <x v="6"/>
    <x v="0"/>
    <n v="1536"/>
    <n v="155"/>
    <n v="257065"/>
    <n v="12.15762550327738"/>
    <x v="27"/>
    <x v="27"/>
  </r>
  <r>
    <x v="7"/>
    <x v="3"/>
    <n v="8340"/>
    <n v="911"/>
    <n v="264494"/>
    <n v="37.302925586213682"/>
    <x v="28"/>
    <x v="28"/>
  </r>
  <r>
    <x v="7"/>
    <x v="1"/>
    <n v="8179"/>
    <n v="446"/>
    <n v="272227"/>
    <n v="41.82171496581897"/>
    <x v="29"/>
    <x v="29"/>
  </r>
  <r>
    <x v="7"/>
    <x v="3"/>
    <n v="8967"/>
    <n v="993"/>
    <n v="280201"/>
    <n v="52.792102811910027"/>
    <x v="30"/>
    <x v="30"/>
  </r>
  <r>
    <x v="7"/>
    <x v="2"/>
    <n v="9734"/>
    <n v="652"/>
    <n v="289283"/>
    <n v="49.647922622483861"/>
    <x v="31"/>
    <x v="4"/>
  </r>
  <r>
    <x v="8"/>
    <x v="3"/>
    <n v="1845"/>
    <n v="104"/>
    <n v="291024"/>
    <n v="28.158158777282971"/>
    <x v="32"/>
    <x v="31"/>
  </r>
  <r>
    <x v="8"/>
    <x v="3"/>
    <n v="6777"/>
    <n v="981"/>
    <n v="296820"/>
    <n v="23.920557913887201"/>
    <x v="33"/>
    <x v="32"/>
  </r>
  <r>
    <x v="8"/>
    <x v="2"/>
    <n v="4036"/>
    <n v="591"/>
    <n v="300265"/>
    <n v="44.219272975538267"/>
    <x v="34"/>
    <x v="33"/>
  </r>
  <r>
    <x v="8"/>
    <x v="1"/>
    <n v="6947"/>
    <n v="908"/>
    <n v="306304"/>
    <n v="14.117673944839121"/>
    <x v="35"/>
    <x v="34"/>
  </r>
  <r>
    <x v="9"/>
    <x v="0"/>
    <n v="3494"/>
    <n v="281"/>
    <n v="309517"/>
    <n v="27.765518533715429"/>
    <x v="36"/>
    <x v="35"/>
  </r>
  <r>
    <x v="9"/>
    <x v="1"/>
    <n v="3719"/>
    <n v="222"/>
    <n v="313014"/>
    <n v="21.669318305251519"/>
    <x v="37"/>
    <x v="36"/>
  </r>
  <r>
    <x v="9"/>
    <x v="2"/>
    <n v="2884"/>
    <n v="341"/>
    <n v="315557"/>
    <n v="46.999749649033298"/>
    <x v="38"/>
    <x v="37"/>
  </r>
  <r>
    <x v="9"/>
    <x v="3"/>
    <n v="5349"/>
    <n v="502"/>
    <n v="320404"/>
    <n v="5.2152906954969351"/>
    <x v="39"/>
    <x v="38"/>
  </r>
  <r>
    <x v="10"/>
    <x v="1"/>
    <n v="6179"/>
    <n v="384"/>
    <n v="326199"/>
    <n v="14.71218489327067"/>
    <x v="40"/>
    <x v="39"/>
  </r>
  <r>
    <x v="10"/>
    <x v="0"/>
    <n v="7610"/>
    <n v="757"/>
    <n v="333052"/>
    <n v="44.450416151231643"/>
    <x v="41"/>
    <x v="40"/>
  </r>
  <r>
    <x v="10"/>
    <x v="2"/>
    <n v="7430"/>
    <n v="397"/>
    <n v="340085"/>
    <n v="28.065042562888689"/>
    <x v="42"/>
    <x v="41"/>
  </r>
  <r>
    <x v="10"/>
    <x v="1"/>
    <n v="8154"/>
    <n v="1149"/>
    <n v="347090"/>
    <n v="26.003918292085629"/>
    <x v="43"/>
    <x v="42"/>
  </r>
  <r>
    <x v="11"/>
    <x v="0"/>
    <n v="7488"/>
    <n v="568"/>
    <n v="354010"/>
    <n v="13.47730290104799"/>
    <x v="44"/>
    <x v="43"/>
  </r>
  <r>
    <x v="11"/>
    <x v="2"/>
    <n v="5737"/>
    <n v="666"/>
    <n v="359081"/>
    <n v="4.6034181702735593"/>
    <x v="45"/>
    <x v="44"/>
  </r>
  <r>
    <x v="11"/>
    <x v="0"/>
    <n v="7525"/>
    <n v="610"/>
    <n v="365996"/>
    <n v="5.7694619613329108"/>
    <x v="46"/>
    <x v="45"/>
  </r>
  <r>
    <x v="11"/>
    <x v="2"/>
    <n v="4850"/>
    <n v="494"/>
    <n v="370352"/>
    <n v="20.46539508359615"/>
    <x v="47"/>
    <x v="46"/>
  </r>
  <r>
    <x v="12"/>
    <x v="3"/>
    <n v="1689"/>
    <n v="176"/>
    <n v="371865"/>
    <n v="38.012181840183942"/>
    <x v="48"/>
    <x v="47"/>
  </r>
  <r>
    <x v="12"/>
    <x v="1"/>
    <n v="6175"/>
    <n v="422"/>
    <n v="377618"/>
    <n v="37.86101298137271"/>
    <x v="49"/>
    <x v="48"/>
  </r>
  <r>
    <x v="12"/>
    <x v="0"/>
    <n v="9648"/>
    <n v="1417"/>
    <n v="385849"/>
    <n v="3.6633501706626168"/>
    <x v="50"/>
    <x v="49"/>
  </r>
  <r>
    <x v="12"/>
    <x v="2"/>
    <n v="6078"/>
    <n v="775"/>
    <n v="391152"/>
    <n v="37.760512537325639"/>
    <x v="51"/>
    <x v="50"/>
  </r>
  <r>
    <x v="13"/>
    <x v="0"/>
    <n v="6448"/>
    <n v="928"/>
    <n v="396672"/>
    <n v="30.118586640851881"/>
    <x v="52"/>
    <x v="51"/>
  </r>
  <r>
    <x v="13"/>
    <x v="0"/>
    <n v="2179"/>
    <n v="303"/>
    <n v="398548"/>
    <n v="33.909842729106657"/>
    <x v="53"/>
    <x v="52"/>
  </r>
  <r>
    <x v="13"/>
    <x v="1"/>
    <n v="7406"/>
    <n v="813"/>
    <n v="405141"/>
    <n v="24.457411123534769"/>
    <x v="54"/>
    <x v="53"/>
  </r>
  <r>
    <x v="13"/>
    <x v="3"/>
    <n v="9591"/>
    <n v="1363"/>
    <n v="413369"/>
    <n v="10.494255737609739"/>
    <x v="55"/>
    <x v="54"/>
  </r>
  <r>
    <x v="14"/>
    <x v="0"/>
    <n v="7907"/>
    <n v="465"/>
    <n v="420811"/>
    <n v="33.257448118038738"/>
    <x v="56"/>
    <x v="55"/>
  </r>
  <r>
    <x v="14"/>
    <x v="2"/>
    <n v="9800"/>
    <n v="682"/>
    <n v="429929"/>
    <n v="6.2966210699906267"/>
    <x v="57"/>
    <x v="56"/>
  </r>
  <r>
    <x v="14"/>
    <x v="2"/>
    <n v="2638"/>
    <n v="143"/>
    <n v="432424"/>
    <n v="6.9547481175882924"/>
    <x v="58"/>
    <x v="57"/>
  </r>
  <r>
    <x v="14"/>
    <x v="3"/>
    <n v="6671"/>
    <n v="550"/>
    <n v="438545"/>
    <n v="17.750287883797562"/>
    <x v="59"/>
    <x v="58"/>
  </r>
  <r>
    <x v="15"/>
    <x v="2"/>
    <n v="7928"/>
    <n v="704"/>
    <n v="445769"/>
    <n v="11.194362999670229"/>
    <x v="60"/>
    <x v="59"/>
  </r>
  <r>
    <x v="15"/>
    <x v="3"/>
    <n v="2382"/>
    <n v="183"/>
    <n v="447968"/>
    <n v="4.7335970426459033"/>
    <x v="61"/>
    <x v="60"/>
  </r>
  <r>
    <x v="15"/>
    <x v="2"/>
    <n v="2403"/>
    <n v="319"/>
    <n v="450052"/>
    <n v="29.92120910472568"/>
    <x v="62"/>
    <x v="61"/>
  </r>
  <r>
    <x v="15"/>
    <x v="1"/>
    <n v="4292"/>
    <n v="367"/>
    <n v="453977"/>
    <n v="3.5037017293827661"/>
    <x v="63"/>
    <x v="62"/>
  </r>
  <r>
    <x v="16"/>
    <x v="0"/>
    <n v="1419"/>
    <n v="110"/>
    <n v="455286"/>
    <n v="31.554451487636339"/>
    <x v="64"/>
    <x v="63"/>
  </r>
  <r>
    <x v="16"/>
    <x v="1"/>
    <n v="5517"/>
    <n v="575"/>
    <n v="460228"/>
    <n v="29.45844233727631"/>
    <x v="65"/>
    <x v="64"/>
  </r>
  <r>
    <x v="16"/>
    <x v="0"/>
    <n v="4302"/>
    <n v="275"/>
    <n v="464255"/>
    <n v="15.72131694865968"/>
    <x v="66"/>
    <x v="65"/>
  </r>
  <r>
    <x v="16"/>
    <x v="0"/>
    <n v="8857"/>
    <n v="1153"/>
    <n v="471959"/>
    <n v="19.214592793018038"/>
    <x v="67"/>
    <x v="66"/>
  </r>
  <r>
    <x v="17"/>
    <x v="0"/>
    <n v="8870"/>
    <n v="509"/>
    <n v="480320"/>
    <n v="25.077864756828781"/>
    <x v="68"/>
    <x v="67"/>
  </r>
  <r>
    <x v="17"/>
    <x v="1"/>
    <n v="6693"/>
    <n v="995"/>
    <n v="486018"/>
    <n v="23.761877132122681"/>
    <x v="69"/>
    <x v="68"/>
  </r>
  <r>
    <x v="17"/>
    <x v="0"/>
    <n v="1767"/>
    <n v="224"/>
    <n v="487561"/>
    <n v="13.208603641390511"/>
    <x v="70"/>
    <x v="69"/>
  </r>
  <r>
    <x v="17"/>
    <x v="1"/>
    <n v="3044"/>
    <n v="212"/>
    <n v="490393"/>
    <n v="8.5343795690395261"/>
    <x v="71"/>
    <x v="70"/>
  </r>
  <r>
    <x v="18"/>
    <x v="3"/>
    <n v="2549"/>
    <n v="128"/>
    <n v="492814"/>
    <n v="12.734216154573531"/>
    <x v="72"/>
    <x v="71"/>
  </r>
  <r>
    <x v="18"/>
    <x v="2"/>
    <n v="7140"/>
    <n v="939"/>
    <n v="499015"/>
    <n v="25.120888149654821"/>
    <x v="73"/>
    <x v="72"/>
  </r>
  <r>
    <x v="18"/>
    <x v="2"/>
    <n v="4716"/>
    <n v="569"/>
    <n v="503162"/>
    <n v="25.64820077827817"/>
    <x v="74"/>
    <x v="73"/>
  </r>
  <r>
    <x v="18"/>
    <x v="0"/>
    <n v="5481"/>
    <n v="673"/>
    <n v="507970"/>
    <n v="13.08758391243577"/>
    <x v="75"/>
    <x v="74"/>
  </r>
  <r>
    <x v="19"/>
    <x v="1"/>
    <n v="8898"/>
    <n v="1131"/>
    <n v="515737"/>
    <n v="2.1877429775253669"/>
    <x v="76"/>
    <x v="75"/>
  </r>
  <r>
    <x v="19"/>
    <x v="2"/>
    <n v="7548"/>
    <n v="433"/>
    <n v="522852"/>
    <n v="8.3562843787534522"/>
    <x v="77"/>
    <x v="76"/>
  </r>
  <r>
    <x v="19"/>
    <x v="1"/>
    <n v="3293"/>
    <n v="282"/>
    <n v="525863"/>
    <n v="27.040693108281051"/>
    <x v="78"/>
    <x v="77"/>
  </r>
  <r>
    <x v="19"/>
    <x v="1"/>
    <n v="5837"/>
    <n v="359"/>
    <n v="531341"/>
    <n v="6.8073045370110723"/>
    <x v="79"/>
    <x v="78"/>
  </r>
  <r>
    <x v="20"/>
    <x v="0"/>
    <n v="8758"/>
    <n v="1193"/>
    <n v="538906"/>
    <n v="3.4213758985797149"/>
    <x v="80"/>
    <x v="79"/>
  </r>
  <r>
    <x v="20"/>
    <x v="2"/>
    <n v="7793"/>
    <n v="875"/>
    <n v="545824"/>
    <n v="5.5136820660139527"/>
    <x v="81"/>
    <x v="80"/>
  </r>
  <r>
    <x v="20"/>
    <x v="0"/>
    <n v="8638"/>
    <n v="717"/>
    <n v="553745"/>
    <n v="26.921416897669499"/>
    <x v="82"/>
    <x v="81"/>
  </r>
  <r>
    <x v="20"/>
    <x v="0"/>
    <n v="8993"/>
    <n v="506"/>
    <n v="562232"/>
    <n v="3.5131404829323132"/>
    <x v="83"/>
    <x v="82"/>
  </r>
  <r>
    <x v="21"/>
    <x v="2"/>
    <n v="7007"/>
    <n v="568"/>
    <n v="568671"/>
    <n v="11.50507059442103"/>
    <x v="84"/>
    <x v="83"/>
  </r>
  <r>
    <x v="21"/>
    <x v="2"/>
    <n v="6542"/>
    <n v="539"/>
    <n v="574674"/>
    <n v="6.4069368024305948"/>
    <x v="85"/>
    <x v="84"/>
  </r>
  <r>
    <x v="21"/>
    <x v="3"/>
    <n v="7356"/>
    <n v="904"/>
    <n v="581126"/>
    <n v="17.560907617280929"/>
    <x v="86"/>
    <x v="85"/>
  </r>
  <r>
    <x v="21"/>
    <x v="3"/>
    <n v="9433"/>
    <n v="1073"/>
    <n v="589486"/>
    <n v="7.2934726185185053"/>
    <x v="87"/>
    <x v="86"/>
  </r>
  <r>
    <x v="22"/>
    <x v="1"/>
    <n v="8380"/>
    <n v="1162"/>
    <n v="596704"/>
    <n v="18.05853488496809"/>
    <x v="88"/>
    <x v="87"/>
  </r>
  <r>
    <x v="22"/>
    <x v="2"/>
    <n v="3385"/>
    <n v="329"/>
    <n v="599760"/>
    <n v="17.61788048552755"/>
    <x v="89"/>
    <x v="88"/>
  </r>
  <r>
    <x v="22"/>
    <x v="3"/>
    <n v="5268"/>
    <n v="326"/>
    <n v="604702"/>
    <n v="23.435841125050029"/>
    <x v="65"/>
    <x v="89"/>
  </r>
  <r>
    <x v="22"/>
    <x v="1"/>
    <n v="1671"/>
    <n v="202"/>
    <n v="606171"/>
    <n v="15.150015424690389"/>
    <x v="90"/>
    <x v="90"/>
  </r>
  <r>
    <x v="23"/>
    <x v="1"/>
    <n v="1163"/>
    <n v="146"/>
    <n v="607188"/>
    <n v="21.77776899411715"/>
    <x v="91"/>
    <x v="91"/>
  </r>
  <r>
    <x v="23"/>
    <x v="1"/>
    <n v="9656"/>
    <n v="1024"/>
    <n v="615820"/>
    <n v="8.7252768666168681"/>
    <x v="92"/>
    <x v="92"/>
  </r>
  <r>
    <x v="23"/>
    <x v="3"/>
    <n v="5592"/>
    <n v="710"/>
    <n v="620702"/>
    <n v="9.07118069540617"/>
    <x v="93"/>
    <x v="93"/>
  </r>
  <r>
    <x v="23"/>
    <x v="2"/>
    <n v="5795"/>
    <n v="575"/>
    <n v="625922"/>
    <n v="3.0908004511744269"/>
    <x v="94"/>
    <x v="94"/>
  </r>
  <r>
    <x v="24"/>
    <x v="0"/>
    <n v="5798"/>
    <n v="592"/>
    <n v="631128"/>
    <n v="1.6774727155188811"/>
    <x v="95"/>
    <x v="95"/>
  </r>
  <r>
    <x v="24"/>
    <x v="1"/>
    <n v="7036"/>
    <n v="652"/>
    <n v="637512"/>
    <n v="3.5705994553828009"/>
    <x v="96"/>
    <x v="96"/>
  </r>
  <r>
    <x v="24"/>
    <x v="3"/>
    <n v="3355"/>
    <n v="176"/>
    <n v="640691"/>
    <n v="12.426427091999111"/>
    <x v="97"/>
    <x v="97"/>
  </r>
  <r>
    <x v="24"/>
    <x v="3"/>
    <n v="6887"/>
    <n v="418"/>
    <n v="647160"/>
    <n v="20.240280610668151"/>
    <x v="98"/>
    <x v="98"/>
  </r>
  <r>
    <x v="25"/>
    <x v="0"/>
    <n v="8961"/>
    <n v="476"/>
    <n v="655645"/>
    <n v="15.458517947974901"/>
    <x v="99"/>
    <x v="99"/>
  </r>
  <r>
    <x v="25"/>
    <x v="0"/>
    <n v="6827"/>
    <n v="775"/>
    <n v="661697"/>
    <n v="15.96622018839439"/>
    <x v="100"/>
    <x v="100"/>
  </r>
  <r>
    <x v="25"/>
    <x v="3"/>
    <n v="9737"/>
    <n v="792"/>
    <n v="670642"/>
    <n v="5.301785453341723"/>
    <x v="101"/>
    <x v="101"/>
  </r>
  <r>
    <x v="25"/>
    <x v="2"/>
    <n v="5719"/>
    <n v="576"/>
    <n v="675785"/>
    <n v="10.21656296011305"/>
    <x v="102"/>
    <x v="102"/>
  </r>
  <r>
    <x v="26"/>
    <x v="0"/>
    <n v="1593"/>
    <n v="224"/>
    <n v="677154"/>
    <n v="4.1495730660972248"/>
    <x v="103"/>
    <x v="103"/>
  </r>
  <r>
    <x v="26"/>
    <x v="3"/>
    <n v="5839"/>
    <n v="437"/>
    <n v="682556"/>
    <n v="17.44750613869045"/>
    <x v="104"/>
    <x v="104"/>
  </r>
  <r>
    <x v="26"/>
    <x v="0"/>
    <n v="8394"/>
    <n v="764"/>
    <n v="690186"/>
    <n v="6.3556780346167558"/>
    <x v="105"/>
    <x v="105"/>
  </r>
  <r>
    <x v="26"/>
    <x v="2"/>
    <n v="4493"/>
    <n v="564"/>
    <n v="694115"/>
    <n v="16.625487131094989"/>
    <x v="106"/>
    <x v="106"/>
  </r>
  <r>
    <x v="27"/>
    <x v="1"/>
    <n v="7164"/>
    <n v="522"/>
    <n v="700757"/>
    <n v="13.449169969047761"/>
    <x v="107"/>
    <x v="107"/>
  </r>
  <r>
    <x v="27"/>
    <x v="0"/>
    <n v="3672"/>
    <n v="211"/>
    <n v="704218"/>
    <n v="12.35057894004413"/>
    <x v="108"/>
    <x v="108"/>
  </r>
  <r>
    <x v="27"/>
    <x v="2"/>
    <n v="5200"/>
    <n v="410"/>
    <n v="709008"/>
    <n v="12.913394489201821"/>
    <x v="109"/>
    <x v="109"/>
  </r>
  <r>
    <x v="27"/>
    <x v="3"/>
    <n v="1016"/>
    <n v="67"/>
    <n v="709957"/>
    <n v="20.774215903216671"/>
    <x v="110"/>
    <x v="110"/>
  </r>
  <r>
    <x v="28"/>
    <x v="0"/>
    <n v="4191"/>
    <n v="599"/>
    <n v="713549"/>
    <n v="11.56416728213479"/>
    <x v="111"/>
    <x v="111"/>
  </r>
  <r>
    <x v="28"/>
    <x v="0"/>
    <n v="1392"/>
    <n v="182"/>
    <n v="714759"/>
    <n v="5.9603306848881932"/>
    <x v="112"/>
    <x v="112"/>
  </r>
  <r>
    <x v="28"/>
    <x v="3"/>
    <n v="9616"/>
    <n v="1089"/>
    <n v="723286"/>
    <n v="19.25863351426683"/>
    <x v="113"/>
    <x v="113"/>
  </r>
  <r>
    <x v="28"/>
    <x v="1"/>
    <n v="7272"/>
    <n v="997"/>
    <n v="729561"/>
    <n v="13.428486445958599"/>
    <x v="114"/>
    <x v="114"/>
  </r>
  <r>
    <x v="29"/>
    <x v="3"/>
    <n v="1571"/>
    <n v="204"/>
    <n v="730928"/>
    <n v="19.449384891535139"/>
    <x v="115"/>
    <x v="115"/>
  </r>
  <r>
    <x v="29"/>
    <x v="0"/>
    <n v="4631"/>
    <n v="317"/>
    <n v="735242"/>
    <n v="1.381177897889402"/>
    <x v="116"/>
    <x v="116"/>
  </r>
  <r>
    <x v="29"/>
    <x v="3"/>
    <n v="7172"/>
    <n v="998"/>
    <n v="741416"/>
    <n v="18.0667803230575"/>
    <x v="117"/>
    <x v="117"/>
  </r>
  <r>
    <x v="29"/>
    <x v="2"/>
    <n v="8177"/>
    <n v="849"/>
    <n v="748744"/>
    <n v="10.34986590877523"/>
    <x v="118"/>
    <x v="118"/>
  </r>
  <r>
    <x v="30"/>
    <x v="3"/>
    <n v="9433"/>
    <n v="1233"/>
    <n v="756944"/>
    <n v="11.391727789638329"/>
    <x v="119"/>
    <x v="119"/>
  </r>
  <r>
    <x v="30"/>
    <x v="0"/>
    <n v="4897"/>
    <n v="683"/>
    <n v="761158"/>
    <n v="15.06231294947961"/>
    <x v="120"/>
    <x v="120"/>
  </r>
  <r>
    <x v="30"/>
    <x v="3"/>
    <n v="9123"/>
    <n v="746"/>
    <n v="769535"/>
    <n v="6.3086149427901264"/>
    <x v="121"/>
    <x v="121"/>
  </r>
  <r>
    <x v="30"/>
    <x v="1"/>
    <n v="3279"/>
    <n v="200"/>
    <n v="772614"/>
    <n v="5.0212654702089274"/>
    <x v="122"/>
    <x v="122"/>
  </r>
  <r>
    <x v="31"/>
    <x v="3"/>
    <n v="9980"/>
    <n v="726"/>
    <n v="781868"/>
    <n v="4.0220344099003924"/>
    <x v="123"/>
    <x v="123"/>
  </r>
  <r>
    <x v="31"/>
    <x v="1"/>
    <n v="8451"/>
    <n v="783"/>
    <n v="789536"/>
    <n v="12.407287318121019"/>
    <x v="124"/>
    <x v="124"/>
  </r>
  <r>
    <x v="31"/>
    <x v="2"/>
    <n v="9906"/>
    <n v="1305"/>
    <n v="798137"/>
    <n v="9.1811305577864442"/>
    <x v="125"/>
    <x v="125"/>
  </r>
  <r>
    <x v="31"/>
    <x v="1"/>
    <n v="1775"/>
    <n v="241"/>
    <n v="799671"/>
    <n v="8.1379717408784362"/>
    <x v="126"/>
    <x v="126"/>
  </r>
  <r>
    <x v="32"/>
    <x v="3"/>
    <n v="7869"/>
    <n v="398"/>
    <n v="807142"/>
    <n v="15.211945357818079"/>
    <x v="127"/>
    <x v="127"/>
  </r>
  <r>
    <x v="32"/>
    <x v="0"/>
    <n v="3247"/>
    <n v="328"/>
    <n v="810061"/>
    <n v="13.941172331466399"/>
    <x v="128"/>
    <x v="128"/>
  </r>
  <r>
    <x v="32"/>
    <x v="1"/>
    <n v="8088"/>
    <n v="742"/>
    <n v="817407"/>
    <n v="14.664542877660701"/>
    <x v="129"/>
    <x v="129"/>
  </r>
  <r>
    <x v="32"/>
    <x v="2"/>
    <n v="1078"/>
    <n v="77"/>
    <n v="818408"/>
    <n v="18.236747441373989"/>
    <x v="130"/>
    <x v="130"/>
  </r>
  <r>
    <x v="33"/>
    <x v="1"/>
    <n v="9080"/>
    <n v="562"/>
    <n v="826926"/>
    <n v="7.1083748727213809"/>
    <x v="131"/>
    <x v="131"/>
  </r>
  <r>
    <x v="33"/>
    <x v="1"/>
    <n v="8099"/>
    <n v="678"/>
    <n v="834347"/>
    <n v="7.6464588474579518"/>
    <x v="132"/>
    <x v="132"/>
  </r>
  <r>
    <x v="33"/>
    <x v="1"/>
    <n v="4926"/>
    <n v="710"/>
    <n v="838563"/>
    <n v="12.96217457722318"/>
    <x v="133"/>
    <x v="133"/>
  </r>
  <r>
    <x v="33"/>
    <x v="2"/>
    <n v="8340"/>
    <n v="686"/>
    <n v="846217"/>
    <n v="7.201344336027284"/>
    <x v="134"/>
    <x v="134"/>
  </r>
  <r>
    <x v="34"/>
    <x v="3"/>
    <n v="8083"/>
    <n v="823"/>
    <n v="853477"/>
    <n v="4.6300017457998282"/>
    <x v="135"/>
    <x v="135"/>
  </r>
  <r>
    <x v="34"/>
    <x v="1"/>
    <n v="7230"/>
    <n v="869"/>
    <n v="859838"/>
    <n v="7.0117859410726204"/>
    <x v="136"/>
    <x v="136"/>
  </r>
  <r>
    <x v="34"/>
    <x v="1"/>
    <n v="5940"/>
    <n v="512"/>
    <n v="865266"/>
    <n v="15.7972230504839"/>
    <x v="137"/>
    <x v="137"/>
  </r>
  <r>
    <x v="34"/>
    <x v="0"/>
    <n v="4271"/>
    <n v="628"/>
    <n v="868909"/>
    <n v="11.124410036033691"/>
    <x v="138"/>
    <x v="138"/>
  </r>
  <r>
    <x v="35"/>
    <x v="2"/>
    <n v="4456"/>
    <n v="651"/>
    <n v="872714"/>
    <n v="9.5052903929580594"/>
    <x v="139"/>
    <x v="139"/>
  </r>
  <r>
    <x v="35"/>
    <x v="1"/>
    <n v="8788"/>
    <n v="660"/>
    <n v="880842"/>
    <n v="3.7175793161543158"/>
    <x v="140"/>
    <x v="140"/>
  </r>
  <r>
    <x v="35"/>
    <x v="2"/>
    <n v="9599"/>
    <n v="957"/>
    <n v="889484"/>
    <n v="8.768004820772493"/>
    <x v="141"/>
    <x v="141"/>
  </r>
  <r>
    <x v="35"/>
    <x v="1"/>
    <n v="8650"/>
    <n v="692"/>
    <n v="897442"/>
    <n v="7.6673478620345374"/>
    <x v="142"/>
    <x v="142"/>
  </r>
  <r>
    <x v="36"/>
    <x v="3"/>
    <n v="3711"/>
    <n v="291"/>
    <n v="900862"/>
    <n v="14.24879726306582"/>
    <x v="143"/>
    <x v="143"/>
  </r>
  <r>
    <x v="36"/>
    <x v="3"/>
    <n v="2668"/>
    <n v="143"/>
    <n v="903387"/>
    <n v="15.903372530266649"/>
    <x v="144"/>
    <x v="144"/>
  </r>
  <r>
    <x v="36"/>
    <x v="1"/>
    <n v="1147"/>
    <n v="127"/>
    <n v="904407"/>
    <n v="1.3997016829812241"/>
    <x v="145"/>
    <x v="145"/>
  </r>
  <r>
    <x v="36"/>
    <x v="3"/>
    <n v="7420"/>
    <n v="743"/>
    <n v="911084"/>
    <n v="10.593534734448189"/>
    <x v="146"/>
    <x v="146"/>
  </r>
  <r>
    <x v="37"/>
    <x v="1"/>
    <n v="1365"/>
    <n v="75"/>
    <n v="912374"/>
    <n v="9.2688963078737441"/>
    <x v="147"/>
    <x v="147"/>
  </r>
  <r>
    <x v="37"/>
    <x v="3"/>
    <n v="5531"/>
    <n v="430"/>
    <n v="917475"/>
    <n v="2.7289026948963189"/>
    <x v="148"/>
    <x v="148"/>
  </r>
  <r>
    <x v="37"/>
    <x v="0"/>
    <n v="6330"/>
    <n v="891"/>
    <n v="922914"/>
    <n v="14.789893749580139"/>
    <x v="149"/>
    <x v="149"/>
  </r>
  <r>
    <x v="37"/>
    <x v="0"/>
    <n v="6510"/>
    <n v="481"/>
    <n v="928943"/>
    <n v="2.3800168578696428"/>
    <x v="150"/>
    <x v="150"/>
  </r>
  <r>
    <x v="38"/>
    <x v="0"/>
    <n v="9754"/>
    <n v="629"/>
    <n v="938068"/>
    <n v="3.4123325814333292"/>
    <x v="151"/>
    <x v="151"/>
  </r>
  <r>
    <x v="38"/>
    <x v="2"/>
    <n v="9964"/>
    <n v="985"/>
    <n v="947047"/>
    <n v="1.9837452629066989"/>
    <x v="152"/>
    <x v="152"/>
  </r>
  <r>
    <x v="38"/>
    <x v="2"/>
    <n v="7493"/>
    <n v="1113"/>
    <n v="953427"/>
    <n v="15.684892498324469"/>
    <x v="153"/>
    <x v="153"/>
  </r>
  <r>
    <x v="38"/>
    <x v="0"/>
    <n v="6439"/>
    <n v="477"/>
    <n v="959389"/>
    <n v="7.4744446725989153"/>
    <x v="154"/>
    <x v="154"/>
  </r>
  <r>
    <x v="39"/>
    <x v="2"/>
    <n v="7511"/>
    <n v="880"/>
    <n v="966020"/>
    <n v="4.6083932009689246"/>
    <x v="155"/>
    <x v="155"/>
  </r>
  <r>
    <x v="39"/>
    <x v="3"/>
    <n v="8504"/>
    <n v="1072"/>
    <n v="973452"/>
    <n v="6.5651927367759271"/>
    <x v="1"/>
    <x v="156"/>
  </r>
  <r>
    <x v="39"/>
    <x v="1"/>
    <n v="2246"/>
    <n v="165"/>
    <n v="975533"/>
    <n v="2.9062061457685191"/>
    <x v="156"/>
    <x v="157"/>
  </r>
  <r>
    <x v="39"/>
    <x v="1"/>
    <n v="4839"/>
    <n v="594"/>
    <n v="979778"/>
    <n v="2.5803804535313102"/>
    <x v="157"/>
    <x v="158"/>
  </r>
  <r>
    <x v="40"/>
    <x v="1"/>
    <n v="9551"/>
    <n v="828"/>
    <n v="988501"/>
    <n v="1.525036393488727"/>
    <x v="158"/>
    <x v="159"/>
  </r>
  <r>
    <x v="40"/>
    <x v="0"/>
    <n v="3376"/>
    <n v="382"/>
    <n v="991495"/>
    <n v="3.8694093263203548"/>
    <x v="159"/>
    <x v="160"/>
  </r>
  <r>
    <x v="40"/>
    <x v="2"/>
    <n v="4009"/>
    <n v="454"/>
    <n v="995050"/>
    <n v="2.1106477061454201"/>
    <x v="160"/>
    <x v="161"/>
  </r>
  <r>
    <x v="40"/>
    <x v="3"/>
    <n v="2827"/>
    <n v="292"/>
    <n v="997585"/>
    <n v="2.4004972007397871"/>
    <x v="161"/>
    <x v="162"/>
  </r>
  <r>
    <x v="41"/>
    <x v="3"/>
    <n v="7979"/>
    <n v="470"/>
    <n v="1005094"/>
    <n v="10.43086517280971"/>
    <x v="162"/>
    <x v="163"/>
  </r>
  <r>
    <x v="41"/>
    <x v="0"/>
    <n v="9569"/>
    <n v="1277"/>
    <n v="1013386"/>
    <n v="12.45517502708741"/>
    <x v="163"/>
    <x v="164"/>
  </r>
  <r>
    <x v="41"/>
    <x v="3"/>
    <n v="5285"/>
    <n v="433"/>
    <n v="1018238"/>
    <n v="8.7022876773406619"/>
    <x v="164"/>
    <x v="165"/>
  </r>
  <r>
    <x v="41"/>
    <x v="3"/>
    <n v="7910"/>
    <n v="543"/>
    <n v="1025605"/>
    <n v="6.0590578244060822"/>
    <x v="165"/>
    <x v="166"/>
  </r>
  <r>
    <x v="42"/>
    <x v="3"/>
    <n v="9561"/>
    <n v="517"/>
    <n v="1034649"/>
    <n v="6.4086467971263694"/>
    <x v="166"/>
    <x v="167"/>
  </r>
  <r>
    <x v="42"/>
    <x v="3"/>
    <n v="3196"/>
    <n v="348"/>
    <n v="1037497"/>
    <n v="14.03040201562029"/>
    <x v="167"/>
    <x v="168"/>
  </r>
  <r>
    <x v="42"/>
    <x v="2"/>
    <n v="4747"/>
    <n v="558"/>
    <n v="1041686"/>
    <n v="5.7680529449373434"/>
    <x v="168"/>
    <x v="169"/>
  </r>
  <r>
    <x v="42"/>
    <x v="3"/>
    <n v="9843"/>
    <n v="508"/>
    <n v="1051021"/>
    <n v="4.2080986012648651"/>
    <x v="169"/>
    <x v="170"/>
  </r>
  <r>
    <x v="43"/>
    <x v="1"/>
    <n v="6978"/>
    <n v="706"/>
    <n v="1057293"/>
    <n v="5.057443868445171"/>
    <x v="170"/>
    <x v="171"/>
  </r>
  <r>
    <x v="43"/>
    <x v="0"/>
    <n v="6607"/>
    <n v="479"/>
    <n v="1063421"/>
    <n v="5.5892257158735816"/>
    <x v="171"/>
    <x v="172"/>
  </r>
  <r>
    <x v="43"/>
    <x v="2"/>
    <n v="1769"/>
    <n v="202"/>
    <n v="1064988"/>
    <n v="6.5457075572682513"/>
    <x v="172"/>
    <x v="173"/>
  </r>
  <r>
    <x v="43"/>
    <x v="3"/>
    <n v="1780"/>
    <n v="120"/>
    <n v="1066648"/>
    <n v="13.86474263299608"/>
    <x v="173"/>
    <x v="174"/>
  </r>
  <r>
    <x v="44"/>
    <x v="2"/>
    <n v="7303"/>
    <n v="869"/>
    <n v="1073082"/>
    <n v="8.1237966902808925"/>
    <x v="174"/>
    <x v="175"/>
  </r>
  <r>
    <x v="44"/>
    <x v="3"/>
    <n v="4983"/>
    <n v="441"/>
    <n v="1077624"/>
    <n v="6.8954477628560609"/>
    <x v="175"/>
    <x v="176"/>
  </r>
  <r>
    <x v="44"/>
    <x v="1"/>
    <n v="9714"/>
    <n v="1395"/>
    <n v="1085943"/>
    <n v="5.2243073531483697"/>
    <x v="176"/>
    <x v="177"/>
  </r>
  <r>
    <x v="44"/>
    <x v="0"/>
    <n v="1521"/>
    <n v="96"/>
    <n v="1087368"/>
    <n v="12.709772588488899"/>
    <x v="177"/>
    <x v="178"/>
  </r>
  <r>
    <x v="45"/>
    <x v="3"/>
    <n v="8569"/>
    <n v="720"/>
    <n v="1095217"/>
    <n v="9.589697749395782"/>
    <x v="178"/>
    <x v="179"/>
  </r>
  <r>
    <x v="45"/>
    <x v="3"/>
    <n v="6784"/>
    <n v="416"/>
    <n v="1101585"/>
    <n v="9.3041390360253633"/>
    <x v="179"/>
    <x v="180"/>
  </r>
  <r>
    <x v="45"/>
    <x v="3"/>
    <n v="5583"/>
    <n v="795"/>
    <n v="1106373"/>
    <n v="12.21550055903389"/>
    <x v="180"/>
    <x v="181"/>
  </r>
  <r>
    <x v="45"/>
    <x v="3"/>
    <n v="6946"/>
    <n v="956"/>
    <n v="1112363"/>
    <n v="1.64146056637986"/>
    <x v="181"/>
    <x v="182"/>
  </r>
  <r>
    <x v="46"/>
    <x v="0"/>
    <n v="5941"/>
    <n v="450"/>
    <n v="1117854"/>
    <n v="12.414411899944"/>
    <x v="182"/>
    <x v="183"/>
  </r>
  <r>
    <x v="46"/>
    <x v="0"/>
    <n v="7267"/>
    <n v="842"/>
    <n v="1124279"/>
    <n v="2.2102165031989389"/>
    <x v="183"/>
    <x v="184"/>
  </r>
  <r>
    <x v="46"/>
    <x v="1"/>
    <n v="8128"/>
    <n v="1070"/>
    <n v="1131337"/>
    <n v="8.1114645768679008"/>
    <x v="184"/>
    <x v="185"/>
  </r>
  <r>
    <x v="46"/>
    <x v="0"/>
    <n v="3461"/>
    <n v="365"/>
    <n v="1134433"/>
    <n v="10.23489267325616"/>
    <x v="185"/>
    <x v="186"/>
  </r>
  <r>
    <x v="47"/>
    <x v="3"/>
    <n v="1685"/>
    <n v="173"/>
    <n v="1135945"/>
    <n v="8.7776256772995165"/>
    <x v="186"/>
    <x v="187"/>
  </r>
  <r>
    <x v="47"/>
    <x v="1"/>
    <n v="3160"/>
    <n v="234"/>
    <n v="1138871"/>
    <n v="5.6959041015180816"/>
    <x v="187"/>
    <x v="188"/>
  </r>
  <r>
    <x v="47"/>
    <x v="1"/>
    <n v="8031"/>
    <n v="476"/>
    <n v="1146426"/>
    <n v="11.940413075069831"/>
    <x v="188"/>
    <x v="189"/>
  </r>
  <r>
    <x v="47"/>
    <x v="1"/>
    <n v="6341"/>
    <n v="885"/>
    <n v="1151882"/>
    <n v="6.3457020771224837"/>
    <x v="189"/>
    <x v="43"/>
  </r>
  <r>
    <x v="48"/>
    <x v="3"/>
    <n v="1038"/>
    <n v="145"/>
    <n v="1152775"/>
    <n v="11.093752033137431"/>
    <x v="190"/>
    <x v="190"/>
  </r>
  <r>
    <x v="48"/>
    <x v="2"/>
    <n v="5875"/>
    <n v="665"/>
    <n v="1157985"/>
    <n v="6.9871371390821126"/>
    <x v="191"/>
    <x v="191"/>
  </r>
  <r>
    <x v="48"/>
    <x v="3"/>
    <n v="2256"/>
    <n v="189"/>
    <n v="1160052"/>
    <n v="2.8935771844710412"/>
    <x v="192"/>
    <x v="192"/>
  </r>
  <r>
    <x v="48"/>
    <x v="0"/>
    <n v="8697"/>
    <n v="738"/>
    <n v="1168011"/>
    <n v="3.8777032065622672"/>
    <x v="193"/>
    <x v="193"/>
  </r>
  <r>
    <x v="49"/>
    <x v="0"/>
    <n v="3196"/>
    <n v="391"/>
    <n v="1170816"/>
    <n v="7.2439221876024931"/>
    <x v="194"/>
    <x v="194"/>
  </r>
  <r>
    <x v="49"/>
    <x v="3"/>
    <n v="8165"/>
    <n v="1140"/>
    <n v="1177841"/>
    <n v="9.095964565675672"/>
    <x v="195"/>
    <x v="195"/>
  </r>
  <r>
    <x v="49"/>
    <x v="3"/>
    <n v="1301"/>
    <n v="180"/>
    <n v="1178962"/>
    <n v="5.2275645864752214"/>
    <x v="196"/>
    <x v="196"/>
  </r>
  <r>
    <x v="49"/>
    <x v="1"/>
    <n v="8527"/>
    <n v="1091"/>
    <n v="1186398"/>
    <n v="1.676081719625286"/>
    <x v="197"/>
    <x v="1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1D6BC-54F4-4B0B-B34F-D939886CD9C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 rowHeaderCaption="Weekly Start Date" colHeaderCaption="Platform" fieldListSortAscending="1">
  <location ref="A1:F53" firstHeaderRow="1" firstDataRow="2" firstDataCol="1"/>
  <pivotFields count="11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_followers" fld="6" baseField="0" baseItem="0"/>
  </dataFields>
  <formats count="63">
    <format dxfId="218">
      <pivotArea type="all" dataOnly="0" outline="0" fieldPosition="0"/>
    </format>
    <format dxfId="217">
      <pivotArea outline="0" collapsedLevelsAreSubtotals="1" fieldPosition="0"/>
    </format>
    <format dxfId="216">
      <pivotArea type="origin" dataOnly="0" labelOnly="1" outline="0" fieldPosition="0"/>
    </format>
    <format dxfId="215">
      <pivotArea type="topRight" dataOnly="0" labelOnly="1" outline="0" fieldPosition="0"/>
    </format>
    <format dxfId="214">
      <pivotArea field="1" type="button" dataOnly="0" labelOnly="1" outline="0" axis="axisCol" fieldPosition="0"/>
    </format>
    <format dxfId="213">
      <pivotArea dataOnly="0" labelOnly="1" grandRow="1" outline="0" fieldPosition="0"/>
    </format>
    <format dxfId="212">
      <pivotArea dataOnly="0" labelOnly="1" grandCol="1" outline="0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type="origin" dataOnly="0" labelOnly="1" outline="0" fieldPosition="0"/>
    </format>
    <format dxfId="208">
      <pivotArea type="topRight" dataOnly="0" labelOnly="1" outline="0" fieldPosition="0"/>
    </format>
    <format dxfId="207">
      <pivotArea field="1" type="button" dataOnly="0" labelOnly="1" outline="0" axis="axisCol" fieldPosition="0"/>
    </format>
    <format dxfId="206">
      <pivotArea dataOnly="0" labelOnly="1" grandRow="1" outline="0" fieldPosition="0"/>
    </format>
    <format dxfId="205">
      <pivotArea dataOnly="0" labelOnly="1" grandCol="1" outline="0" fieldPosition="0"/>
    </format>
    <format dxfId="204">
      <pivotArea type="topRight" dataOnly="0" labelOnly="1" outline="0" offset="D1" fieldPosition="0"/>
    </format>
    <format dxfId="203">
      <pivotArea type="topRight" dataOnly="0" labelOnly="1" outline="0" offset="E1" fieldPosition="0"/>
    </format>
    <format dxfId="202">
      <pivotArea type="topRight" dataOnly="0" labelOnly="1" outline="0" offset="F1" fieldPosition="0"/>
    </format>
    <format dxfId="201">
      <pivotArea type="topRight" dataOnly="0" labelOnly="1" outline="0" offset="G1" fieldPosition="0"/>
    </format>
    <format dxfId="200">
      <pivotArea type="topRight" dataOnly="0" labelOnly="1" outline="0" offset="H1" fieldPosition="0"/>
    </format>
    <format dxfId="199">
      <pivotArea type="topRight" dataOnly="0" labelOnly="1" outline="0" offset="I1" fieldPosition="0"/>
    </format>
    <format dxfId="198">
      <pivotArea type="topRight" dataOnly="0" labelOnly="1" outline="0" offset="J1" fieldPosition="0"/>
    </format>
    <format dxfId="197">
      <pivotArea type="topRight" dataOnly="0" labelOnly="1" outline="0" offset="K1" fieldPosition="0"/>
    </format>
    <format dxfId="196">
      <pivotArea type="topRight" dataOnly="0" labelOnly="1" outline="0" offset="L1" fieldPosition="0"/>
    </format>
    <format dxfId="195">
      <pivotArea type="topRight" dataOnly="0" labelOnly="1" outline="0" offset="M1" fieldPosition="0"/>
    </format>
    <format dxfId="194">
      <pivotArea type="topRight" dataOnly="0" labelOnly="1" outline="0" offset="N1" fieldPosition="0"/>
    </format>
    <format dxfId="193">
      <pivotArea type="topRight" dataOnly="0" labelOnly="1" outline="0" offset="O1" fieldPosition="0"/>
    </format>
    <format dxfId="192">
      <pivotArea type="topRight" dataOnly="0" labelOnly="1" outline="0" offset="P1" fieldPosition="0"/>
    </format>
    <format dxfId="191">
      <pivotArea type="topRight" dataOnly="0" labelOnly="1" outline="0" offset="Q1" fieldPosition="0"/>
    </format>
    <format dxfId="190">
      <pivotArea type="topRight" dataOnly="0" labelOnly="1" outline="0" offset="R1" fieldPosition="0"/>
    </format>
    <format dxfId="189">
      <pivotArea type="topRight" dataOnly="0" labelOnly="1" outline="0" offset="S1" fieldPosition="0"/>
    </format>
    <format dxfId="188">
      <pivotArea type="topRight" dataOnly="0" labelOnly="1" outline="0" offset="T1" fieldPosition="0"/>
    </format>
    <format dxfId="187">
      <pivotArea type="topRight" dataOnly="0" labelOnly="1" outline="0" offset="U1" fieldPosition="0"/>
    </format>
    <format dxfId="186">
      <pivotArea type="topRight" dataOnly="0" labelOnly="1" outline="0" offset="V1" fieldPosition="0"/>
    </format>
    <format dxfId="185">
      <pivotArea type="topRight" dataOnly="0" labelOnly="1" outline="0" offset="W1" fieldPosition="0"/>
    </format>
    <format dxfId="184">
      <pivotArea type="topRight" dataOnly="0" labelOnly="1" outline="0" offset="X1" fieldPosition="0"/>
    </format>
    <format dxfId="183">
      <pivotArea type="topRight" dataOnly="0" labelOnly="1" outline="0" offset="Y1" fieldPosition="0"/>
    </format>
    <format dxfId="182">
      <pivotArea type="topRight" dataOnly="0" labelOnly="1" outline="0" offset="Z1" fieldPosition="0"/>
    </format>
    <format dxfId="181">
      <pivotArea type="topRight" dataOnly="0" labelOnly="1" outline="0" offset="AA1" fieldPosition="0"/>
    </format>
    <format dxfId="180">
      <pivotArea type="topRight" dataOnly="0" labelOnly="1" outline="0" offset="AB1" fieldPosition="0"/>
    </format>
    <format dxfId="179">
      <pivotArea type="topRight" dataOnly="0" labelOnly="1" outline="0" offset="AC1" fieldPosition="0"/>
    </format>
    <format dxfId="178">
      <pivotArea type="topRight" dataOnly="0" labelOnly="1" outline="0" offset="AD1" fieldPosition="0"/>
    </format>
    <format dxfId="177">
      <pivotArea type="topRight" dataOnly="0" labelOnly="1" outline="0" offset="AE1" fieldPosition="0"/>
    </format>
    <format dxfId="176">
      <pivotArea type="topRight" dataOnly="0" labelOnly="1" outline="0" offset="AF1" fieldPosition="0"/>
    </format>
    <format dxfId="175">
      <pivotArea type="topRight" dataOnly="0" labelOnly="1" outline="0" offset="AG1" fieldPosition="0"/>
    </format>
    <format dxfId="174">
      <pivotArea type="topRight" dataOnly="0" labelOnly="1" outline="0" offset="AH1" fieldPosition="0"/>
    </format>
    <format dxfId="173">
      <pivotArea type="topRight" dataOnly="0" labelOnly="1" outline="0" offset="AI1" fieldPosition="0"/>
    </format>
    <format dxfId="172">
      <pivotArea type="topRight" dataOnly="0" labelOnly="1" outline="0" offset="AJ1" fieldPosition="0"/>
    </format>
    <format dxfId="171">
      <pivotArea type="topRight" dataOnly="0" labelOnly="1" outline="0" offset="AK1" fieldPosition="0"/>
    </format>
    <format dxfId="170">
      <pivotArea type="topRight" dataOnly="0" labelOnly="1" outline="0" offset="AL1" fieldPosition="0"/>
    </format>
    <format dxfId="169">
      <pivotArea type="topRight" dataOnly="0" labelOnly="1" outline="0" offset="AM1" fieldPosition="0"/>
    </format>
    <format dxfId="168">
      <pivotArea type="topRight" dataOnly="0" labelOnly="1" outline="0" offset="AN1" fieldPosition="0"/>
    </format>
    <format dxfId="167">
      <pivotArea type="topRight" dataOnly="0" labelOnly="1" outline="0" offset="AO1" fieldPosition="0"/>
    </format>
    <format dxfId="166">
      <pivotArea type="topRight" dataOnly="0" labelOnly="1" outline="0" offset="AP1" fieldPosition="0"/>
    </format>
    <format dxfId="165">
      <pivotArea type="topRight" dataOnly="0" labelOnly="1" outline="0" offset="AQ1" fieldPosition="0"/>
    </format>
    <format dxfId="164">
      <pivotArea type="topRight" dataOnly="0" labelOnly="1" outline="0" offset="AR1" fieldPosition="0"/>
    </format>
    <format dxfId="163">
      <pivotArea type="topRight" dataOnly="0" labelOnly="1" outline="0" offset="AS1" fieldPosition="0"/>
    </format>
    <format dxfId="162">
      <pivotArea type="topRight" dataOnly="0" labelOnly="1" outline="0" offset="AT1" fieldPosition="0"/>
    </format>
    <format dxfId="161">
      <pivotArea type="topRight" dataOnly="0" labelOnly="1" outline="0" offset="AU1" fieldPosition="0"/>
    </format>
    <format dxfId="160">
      <pivotArea type="topRight" dataOnly="0" labelOnly="1" outline="0" offset="AV1" fieldPosition="0"/>
    </format>
    <format dxfId="159">
      <pivotArea type="topRight" dataOnly="0" labelOnly="1" outline="0" offset="AW1" fieldPosition="0"/>
    </format>
    <format dxfId="158">
      <pivotArea type="topRight" dataOnly="0" labelOnly="1" outline="0" offset="A1" fieldPosition="0"/>
    </format>
    <format dxfId="157">
      <pivotArea type="topRight" dataOnly="0" labelOnly="1" outline="0" offset="B1" fieldPosition="0"/>
    </format>
    <format dxfId="156">
      <pivotArea type="topRight" dataOnly="0" labelOnly="1" outline="0" offset="C1" fieldPosition="0"/>
    </format>
  </formats>
  <chartFormats count="55"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4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4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4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4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4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4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4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4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4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4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4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24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24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24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24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24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24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24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24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24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24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24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24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24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24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24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24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24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24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24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24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24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24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24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24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24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24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24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24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24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24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24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4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4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4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A2D2D-736F-4F16-8B47-707080BE447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 rowHeaderCaption="Weekly Start Date" colHeaderCaption="Platform" fieldListSortAscending="1">
  <location ref="A1:F53" firstHeaderRow="1" firstDataRow="2" firstDataCol="1"/>
  <pivotFields count="11">
    <pivotField axis="axisRow" showAll="0" sortType="de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0"/>
  </rowFields>
  <rowItems count="51">
    <i>
      <x v="7"/>
    </i>
    <i>
      <x v="20"/>
    </i>
    <i>
      <x v="38"/>
    </i>
    <i>
      <x v="25"/>
    </i>
    <i>
      <x v="3"/>
    </i>
    <i>
      <x v="35"/>
    </i>
    <i>
      <x v="41"/>
    </i>
    <i>
      <x v="33"/>
    </i>
    <i>
      <x v="21"/>
    </i>
    <i>
      <x/>
    </i>
    <i>
      <x v="31"/>
    </i>
    <i>
      <x v="10"/>
    </i>
    <i>
      <x v="2"/>
    </i>
    <i>
      <x v="42"/>
    </i>
    <i>
      <x v="14"/>
    </i>
    <i>
      <x v="45"/>
    </i>
    <i>
      <x v="30"/>
    </i>
    <i>
      <x v="19"/>
    </i>
    <i>
      <x v="11"/>
    </i>
    <i>
      <x v="1"/>
    </i>
    <i>
      <x v="34"/>
    </i>
    <i>
      <x v="13"/>
    </i>
    <i>
      <x v="46"/>
    </i>
    <i>
      <x v="24"/>
    </i>
    <i>
      <x v="12"/>
    </i>
    <i>
      <x v="44"/>
    </i>
    <i>
      <x v="39"/>
    </i>
    <i>
      <x v="4"/>
    </i>
    <i>
      <x v="23"/>
    </i>
    <i>
      <x v="28"/>
    </i>
    <i>
      <x v="29"/>
    </i>
    <i>
      <x v="32"/>
    </i>
    <i>
      <x v="5"/>
    </i>
    <i>
      <x v="17"/>
    </i>
    <i>
      <x v="49"/>
    </i>
    <i>
      <x v="26"/>
    </i>
    <i>
      <x v="16"/>
    </i>
    <i>
      <x v="37"/>
    </i>
    <i>
      <x v="40"/>
    </i>
    <i>
      <x v="18"/>
    </i>
    <i>
      <x v="47"/>
    </i>
    <i>
      <x v="8"/>
    </i>
    <i>
      <x v="22"/>
    </i>
    <i>
      <x v="48"/>
    </i>
    <i>
      <x v="27"/>
    </i>
    <i>
      <x v="43"/>
    </i>
    <i>
      <x v="15"/>
    </i>
    <i>
      <x v="9"/>
    </i>
    <i>
      <x v="6"/>
    </i>
    <i>
      <x v="3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_followers" fld="6" baseField="0" baseItem="0"/>
  </dataFields>
  <formats count="70">
    <format dxfId="154">
      <pivotArea type="all" dataOnly="0" outline="0" fieldPosition="0"/>
    </format>
    <format dxfId="153">
      <pivotArea outline="0" collapsedLevelsAreSubtotals="1" fieldPosition="0"/>
    </format>
    <format dxfId="152">
      <pivotArea type="origin" dataOnly="0" labelOnly="1" outline="0" fieldPosition="0"/>
    </format>
    <format dxfId="151">
      <pivotArea type="topRight" dataOnly="0" labelOnly="1" outline="0" fieldPosition="0"/>
    </format>
    <format dxfId="150">
      <pivotArea field="1" type="button" dataOnly="0" labelOnly="1" outline="0" axis="axisCol" fieldPosition="0"/>
    </format>
    <format dxfId="149">
      <pivotArea dataOnly="0" labelOnly="1" grandRow="1" outline="0" fieldPosition="0"/>
    </format>
    <format dxfId="148">
      <pivotArea dataOnly="0" labelOnly="1" grandCol="1" outline="0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type="origin" dataOnly="0" labelOnly="1" outline="0" fieldPosition="0"/>
    </format>
    <format dxfId="144">
      <pivotArea type="topRight" dataOnly="0" labelOnly="1" outline="0" fieldPosition="0"/>
    </format>
    <format dxfId="143">
      <pivotArea field="1" type="button" dataOnly="0" labelOnly="1" outline="0" axis="axisCol" fieldPosition="0"/>
    </format>
    <format dxfId="142">
      <pivotArea dataOnly="0" labelOnly="1" grandRow="1" outline="0" fieldPosition="0"/>
    </format>
    <format dxfId="141">
      <pivotArea dataOnly="0" labelOnly="1" grandCol="1" outline="0" fieldPosition="0"/>
    </format>
    <format dxfId="140">
      <pivotArea type="topRight" dataOnly="0" labelOnly="1" outline="0" offset="D1" fieldPosition="0"/>
    </format>
    <format dxfId="139">
      <pivotArea type="topRight" dataOnly="0" labelOnly="1" outline="0" offset="E1" fieldPosition="0"/>
    </format>
    <format dxfId="138">
      <pivotArea type="topRight" dataOnly="0" labelOnly="1" outline="0" offset="F1" fieldPosition="0"/>
    </format>
    <format dxfId="137">
      <pivotArea type="topRight" dataOnly="0" labelOnly="1" outline="0" offset="G1" fieldPosition="0"/>
    </format>
    <format dxfId="136">
      <pivotArea type="topRight" dataOnly="0" labelOnly="1" outline="0" offset="H1" fieldPosition="0"/>
    </format>
    <format dxfId="135">
      <pivotArea type="topRight" dataOnly="0" labelOnly="1" outline="0" offset="I1" fieldPosition="0"/>
    </format>
    <format dxfId="134">
      <pivotArea type="topRight" dataOnly="0" labelOnly="1" outline="0" offset="J1" fieldPosition="0"/>
    </format>
    <format dxfId="133">
      <pivotArea type="topRight" dataOnly="0" labelOnly="1" outline="0" offset="K1" fieldPosition="0"/>
    </format>
    <format dxfId="132">
      <pivotArea type="topRight" dataOnly="0" labelOnly="1" outline="0" offset="L1" fieldPosition="0"/>
    </format>
    <format dxfId="131">
      <pivotArea type="topRight" dataOnly="0" labelOnly="1" outline="0" offset="M1" fieldPosition="0"/>
    </format>
    <format dxfId="130">
      <pivotArea type="topRight" dataOnly="0" labelOnly="1" outline="0" offset="N1" fieldPosition="0"/>
    </format>
    <format dxfId="129">
      <pivotArea type="topRight" dataOnly="0" labelOnly="1" outline="0" offset="O1" fieldPosition="0"/>
    </format>
    <format dxfId="128">
      <pivotArea type="topRight" dataOnly="0" labelOnly="1" outline="0" offset="P1" fieldPosition="0"/>
    </format>
    <format dxfId="127">
      <pivotArea type="topRight" dataOnly="0" labelOnly="1" outline="0" offset="Q1" fieldPosition="0"/>
    </format>
    <format dxfId="126">
      <pivotArea type="topRight" dataOnly="0" labelOnly="1" outline="0" offset="R1" fieldPosition="0"/>
    </format>
    <format dxfId="125">
      <pivotArea type="topRight" dataOnly="0" labelOnly="1" outline="0" offset="S1" fieldPosition="0"/>
    </format>
    <format dxfId="124">
      <pivotArea type="topRight" dataOnly="0" labelOnly="1" outline="0" offset="T1" fieldPosition="0"/>
    </format>
    <format dxfId="123">
      <pivotArea type="topRight" dataOnly="0" labelOnly="1" outline="0" offset="U1" fieldPosition="0"/>
    </format>
    <format dxfId="122">
      <pivotArea type="topRight" dataOnly="0" labelOnly="1" outline="0" offset="V1" fieldPosition="0"/>
    </format>
    <format dxfId="121">
      <pivotArea type="topRight" dataOnly="0" labelOnly="1" outline="0" offset="W1" fieldPosition="0"/>
    </format>
    <format dxfId="120">
      <pivotArea type="topRight" dataOnly="0" labelOnly="1" outline="0" offset="X1" fieldPosition="0"/>
    </format>
    <format dxfId="119">
      <pivotArea type="topRight" dataOnly="0" labelOnly="1" outline="0" offset="Y1" fieldPosition="0"/>
    </format>
    <format dxfId="118">
      <pivotArea type="topRight" dataOnly="0" labelOnly="1" outline="0" offset="Z1" fieldPosition="0"/>
    </format>
    <format dxfId="117">
      <pivotArea type="topRight" dataOnly="0" labelOnly="1" outline="0" offset="AA1" fieldPosition="0"/>
    </format>
    <format dxfId="116">
      <pivotArea type="topRight" dataOnly="0" labelOnly="1" outline="0" offset="AB1" fieldPosition="0"/>
    </format>
    <format dxfId="115">
      <pivotArea type="topRight" dataOnly="0" labelOnly="1" outline="0" offset="AC1" fieldPosition="0"/>
    </format>
    <format dxfId="114">
      <pivotArea type="topRight" dataOnly="0" labelOnly="1" outline="0" offset="AD1" fieldPosition="0"/>
    </format>
    <format dxfId="113">
      <pivotArea type="topRight" dataOnly="0" labelOnly="1" outline="0" offset="AE1" fieldPosition="0"/>
    </format>
    <format dxfId="112">
      <pivotArea type="topRight" dataOnly="0" labelOnly="1" outline="0" offset="AF1" fieldPosition="0"/>
    </format>
    <format dxfId="111">
      <pivotArea type="topRight" dataOnly="0" labelOnly="1" outline="0" offset="AG1" fieldPosition="0"/>
    </format>
    <format dxfId="110">
      <pivotArea type="topRight" dataOnly="0" labelOnly="1" outline="0" offset="AH1" fieldPosition="0"/>
    </format>
    <format dxfId="109">
      <pivotArea type="topRight" dataOnly="0" labelOnly="1" outline="0" offset="AI1" fieldPosition="0"/>
    </format>
    <format dxfId="108">
      <pivotArea type="topRight" dataOnly="0" labelOnly="1" outline="0" offset="AJ1" fieldPosition="0"/>
    </format>
    <format dxfId="107">
      <pivotArea type="topRight" dataOnly="0" labelOnly="1" outline="0" offset="AK1" fieldPosition="0"/>
    </format>
    <format dxfId="106">
      <pivotArea type="topRight" dataOnly="0" labelOnly="1" outline="0" offset="AL1" fieldPosition="0"/>
    </format>
    <format dxfId="105">
      <pivotArea type="topRight" dataOnly="0" labelOnly="1" outline="0" offset="AM1" fieldPosition="0"/>
    </format>
    <format dxfId="104">
      <pivotArea type="topRight" dataOnly="0" labelOnly="1" outline="0" offset="AN1" fieldPosition="0"/>
    </format>
    <format dxfId="103">
      <pivotArea type="topRight" dataOnly="0" labelOnly="1" outline="0" offset="AO1" fieldPosition="0"/>
    </format>
    <format dxfId="102">
      <pivotArea type="topRight" dataOnly="0" labelOnly="1" outline="0" offset="AP1" fieldPosition="0"/>
    </format>
    <format dxfId="101">
      <pivotArea type="topRight" dataOnly="0" labelOnly="1" outline="0" offset="AQ1" fieldPosition="0"/>
    </format>
    <format dxfId="100">
      <pivotArea type="topRight" dataOnly="0" labelOnly="1" outline="0" offset="AR1" fieldPosition="0"/>
    </format>
    <format dxfId="99">
      <pivotArea type="topRight" dataOnly="0" labelOnly="1" outline="0" offset="AS1" fieldPosition="0"/>
    </format>
    <format dxfId="98">
      <pivotArea type="topRight" dataOnly="0" labelOnly="1" outline="0" offset="AT1" fieldPosition="0"/>
    </format>
    <format dxfId="97">
      <pivotArea type="topRight" dataOnly="0" labelOnly="1" outline="0" offset="AU1" fieldPosition="0"/>
    </format>
    <format dxfId="96">
      <pivotArea type="topRight" dataOnly="0" labelOnly="1" outline="0" offset="AV1" fieldPosition="0"/>
    </format>
    <format dxfId="95">
      <pivotArea type="topRight" dataOnly="0" labelOnly="1" outline="0" offset="AW1" fieldPosition="0"/>
    </format>
    <format dxfId="94">
      <pivotArea type="origin" dataOnly="0" labelOnly="1" outline="0" fieldPosition="0"/>
    </format>
    <format dxfId="93">
      <pivotArea field="1" type="button" dataOnly="0" labelOnly="1" outline="0" axis="axisCol" fieldPosition="0"/>
    </format>
    <format dxfId="92">
      <pivotArea type="topRight" dataOnly="0" labelOnly="1" outline="0" fieldPosition="0"/>
    </format>
    <format dxfId="91">
      <pivotArea field="0" type="button" dataOnly="0" labelOnly="1" outline="0" axis="axisRow" fieldPosition="0"/>
    </format>
    <format dxfId="90">
      <pivotArea dataOnly="0" labelOnly="1" fieldPosition="0">
        <references count="1">
          <reference field="1" count="0"/>
        </references>
      </pivotArea>
    </format>
    <format dxfId="89">
      <pivotArea dataOnly="0" labelOnly="1" grandCol="1" outline="0" fieldPosition="0"/>
    </format>
    <format dxfId="88">
      <pivotArea type="topRight" dataOnly="0" labelOnly="1" outline="0" offset="A1" fieldPosition="0"/>
    </format>
    <format dxfId="87">
      <pivotArea type="topRight" dataOnly="0" labelOnly="1" outline="0" offset="B1" fieldPosition="0"/>
    </format>
    <format dxfId="86">
      <pivotArea type="topRight" dataOnly="0" labelOnly="1" outline="0" offset="C1" fieldPosition="0"/>
    </format>
    <format dxfId="85">
      <pivotArea field="1" type="button" dataOnly="0" labelOnly="1" outline="0" axis="axisCol" fieldPosition="0"/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</reference>
          </references>
        </pivotArea>
      </pivotAreas>
    </conditionalFormat>
  </conditionalFormats>
  <chartFormats count="59"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4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4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4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4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4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4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4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4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4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4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4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24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24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24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24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24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24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24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24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24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24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24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24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24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24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24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24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24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24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24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24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24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24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24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24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24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24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24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24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24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24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24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4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4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4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4A18B-136E-429B-983E-22FC0854765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2" rowHeaderCaption="Weekly Start Date" colHeaderCaption="Platform" fieldListSortAscending="1">
  <location ref="A1:F53" firstHeaderRow="1" firstDataRow="2" firstDataCol="1"/>
  <pivotFields count="11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 sortType="descending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_followers" fld="6" baseField="0" baseItem="0"/>
  </dataFields>
  <formats count="70">
    <format dxfId="84">
      <pivotArea type="all" dataOnly="0" outline="0" fieldPosition="0"/>
    </format>
    <format dxfId="83">
      <pivotArea outline="0" collapsedLevelsAreSubtotals="1" fieldPosition="0"/>
    </format>
    <format dxfId="82">
      <pivotArea type="origin" dataOnly="0" labelOnly="1" outline="0" fieldPosition="0"/>
    </format>
    <format dxfId="81">
      <pivotArea type="topRight" dataOnly="0" labelOnly="1" outline="0" fieldPosition="0"/>
    </format>
    <format dxfId="80">
      <pivotArea field="1" type="button" dataOnly="0" labelOnly="1" outline="0" axis="axisCol" fieldPosition="0"/>
    </format>
    <format dxfId="79">
      <pivotArea dataOnly="0" labelOnly="1" grandRow="1" outline="0" fieldPosition="0"/>
    </format>
    <format dxfId="78">
      <pivotArea dataOnly="0" labelOnly="1" grandCol="1" outline="0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type="topRight" dataOnly="0" labelOnly="1" outline="0" fieldPosition="0"/>
    </format>
    <format dxfId="73">
      <pivotArea field="1" type="button" dataOnly="0" labelOnly="1" outline="0" axis="axisCol" fieldPosition="0"/>
    </format>
    <format dxfId="72">
      <pivotArea dataOnly="0" labelOnly="1" grandRow="1" outline="0" fieldPosition="0"/>
    </format>
    <format dxfId="71">
      <pivotArea dataOnly="0" labelOnly="1" grandCol="1" outline="0" fieldPosition="0"/>
    </format>
    <format dxfId="70">
      <pivotArea type="topRight" dataOnly="0" labelOnly="1" outline="0" offset="D1" fieldPosition="0"/>
    </format>
    <format dxfId="69">
      <pivotArea type="topRight" dataOnly="0" labelOnly="1" outline="0" offset="E1" fieldPosition="0"/>
    </format>
    <format dxfId="68">
      <pivotArea type="topRight" dataOnly="0" labelOnly="1" outline="0" offset="F1" fieldPosition="0"/>
    </format>
    <format dxfId="67">
      <pivotArea type="topRight" dataOnly="0" labelOnly="1" outline="0" offset="G1" fieldPosition="0"/>
    </format>
    <format dxfId="66">
      <pivotArea type="topRight" dataOnly="0" labelOnly="1" outline="0" offset="H1" fieldPosition="0"/>
    </format>
    <format dxfId="65">
      <pivotArea type="topRight" dataOnly="0" labelOnly="1" outline="0" offset="I1" fieldPosition="0"/>
    </format>
    <format dxfId="64">
      <pivotArea type="topRight" dataOnly="0" labelOnly="1" outline="0" offset="J1" fieldPosition="0"/>
    </format>
    <format dxfId="63">
      <pivotArea type="topRight" dataOnly="0" labelOnly="1" outline="0" offset="K1" fieldPosition="0"/>
    </format>
    <format dxfId="62">
      <pivotArea type="topRight" dataOnly="0" labelOnly="1" outline="0" offset="L1" fieldPosition="0"/>
    </format>
    <format dxfId="61">
      <pivotArea type="topRight" dataOnly="0" labelOnly="1" outline="0" offset="M1" fieldPosition="0"/>
    </format>
    <format dxfId="60">
      <pivotArea type="topRight" dataOnly="0" labelOnly="1" outline="0" offset="N1" fieldPosition="0"/>
    </format>
    <format dxfId="59">
      <pivotArea type="topRight" dataOnly="0" labelOnly="1" outline="0" offset="O1" fieldPosition="0"/>
    </format>
    <format dxfId="58">
      <pivotArea type="topRight" dataOnly="0" labelOnly="1" outline="0" offset="P1" fieldPosition="0"/>
    </format>
    <format dxfId="57">
      <pivotArea type="topRight" dataOnly="0" labelOnly="1" outline="0" offset="Q1" fieldPosition="0"/>
    </format>
    <format dxfId="56">
      <pivotArea type="topRight" dataOnly="0" labelOnly="1" outline="0" offset="R1" fieldPosition="0"/>
    </format>
    <format dxfId="55">
      <pivotArea type="topRight" dataOnly="0" labelOnly="1" outline="0" offset="S1" fieldPosition="0"/>
    </format>
    <format dxfId="54">
      <pivotArea type="topRight" dataOnly="0" labelOnly="1" outline="0" offset="T1" fieldPosition="0"/>
    </format>
    <format dxfId="53">
      <pivotArea type="topRight" dataOnly="0" labelOnly="1" outline="0" offset="U1" fieldPosition="0"/>
    </format>
    <format dxfId="52">
      <pivotArea type="topRight" dataOnly="0" labelOnly="1" outline="0" offset="V1" fieldPosition="0"/>
    </format>
    <format dxfId="51">
      <pivotArea type="topRight" dataOnly="0" labelOnly="1" outline="0" offset="W1" fieldPosition="0"/>
    </format>
    <format dxfId="50">
      <pivotArea type="topRight" dataOnly="0" labelOnly="1" outline="0" offset="X1" fieldPosition="0"/>
    </format>
    <format dxfId="49">
      <pivotArea type="topRight" dataOnly="0" labelOnly="1" outline="0" offset="Y1" fieldPosition="0"/>
    </format>
    <format dxfId="48">
      <pivotArea type="topRight" dataOnly="0" labelOnly="1" outline="0" offset="Z1" fieldPosition="0"/>
    </format>
    <format dxfId="47">
      <pivotArea type="topRight" dataOnly="0" labelOnly="1" outline="0" offset="AA1" fieldPosition="0"/>
    </format>
    <format dxfId="46">
      <pivotArea type="topRight" dataOnly="0" labelOnly="1" outline="0" offset="AB1" fieldPosition="0"/>
    </format>
    <format dxfId="45">
      <pivotArea type="topRight" dataOnly="0" labelOnly="1" outline="0" offset="AC1" fieldPosition="0"/>
    </format>
    <format dxfId="44">
      <pivotArea type="topRight" dataOnly="0" labelOnly="1" outline="0" offset="AD1" fieldPosition="0"/>
    </format>
    <format dxfId="43">
      <pivotArea type="topRight" dataOnly="0" labelOnly="1" outline="0" offset="AE1" fieldPosition="0"/>
    </format>
    <format dxfId="42">
      <pivotArea type="topRight" dataOnly="0" labelOnly="1" outline="0" offset="AF1" fieldPosition="0"/>
    </format>
    <format dxfId="41">
      <pivotArea type="topRight" dataOnly="0" labelOnly="1" outline="0" offset="AG1" fieldPosition="0"/>
    </format>
    <format dxfId="40">
      <pivotArea type="topRight" dataOnly="0" labelOnly="1" outline="0" offset="AH1" fieldPosition="0"/>
    </format>
    <format dxfId="39">
      <pivotArea type="topRight" dataOnly="0" labelOnly="1" outline="0" offset="AI1" fieldPosition="0"/>
    </format>
    <format dxfId="38">
      <pivotArea type="topRight" dataOnly="0" labelOnly="1" outline="0" offset="AJ1" fieldPosition="0"/>
    </format>
    <format dxfId="37">
      <pivotArea type="topRight" dataOnly="0" labelOnly="1" outline="0" offset="AK1" fieldPosition="0"/>
    </format>
    <format dxfId="36">
      <pivotArea type="topRight" dataOnly="0" labelOnly="1" outline="0" offset="AL1" fieldPosition="0"/>
    </format>
    <format dxfId="35">
      <pivotArea type="topRight" dataOnly="0" labelOnly="1" outline="0" offset="AM1" fieldPosition="0"/>
    </format>
    <format dxfId="34">
      <pivotArea type="topRight" dataOnly="0" labelOnly="1" outline="0" offset="AN1" fieldPosition="0"/>
    </format>
    <format dxfId="33">
      <pivotArea type="topRight" dataOnly="0" labelOnly="1" outline="0" offset="AO1" fieldPosition="0"/>
    </format>
    <format dxfId="32">
      <pivotArea type="topRight" dataOnly="0" labelOnly="1" outline="0" offset="AP1" fieldPosition="0"/>
    </format>
    <format dxfId="31">
      <pivotArea type="topRight" dataOnly="0" labelOnly="1" outline="0" offset="AQ1" fieldPosition="0"/>
    </format>
    <format dxfId="30">
      <pivotArea type="topRight" dataOnly="0" labelOnly="1" outline="0" offset="AR1" fieldPosition="0"/>
    </format>
    <format dxfId="29">
      <pivotArea type="topRight" dataOnly="0" labelOnly="1" outline="0" offset="AS1" fieldPosition="0"/>
    </format>
    <format dxfId="28">
      <pivotArea type="topRight" dataOnly="0" labelOnly="1" outline="0" offset="AT1" fieldPosition="0"/>
    </format>
    <format dxfId="27">
      <pivotArea type="topRight" dataOnly="0" labelOnly="1" outline="0" offset="AU1" fieldPosition="0"/>
    </format>
    <format dxfId="26">
      <pivotArea type="topRight" dataOnly="0" labelOnly="1" outline="0" offset="AV1" fieldPosition="0"/>
    </format>
    <format dxfId="25">
      <pivotArea type="topRight" dataOnly="0" labelOnly="1" outline="0" offset="AW1" fieldPosition="0"/>
    </format>
    <format dxfId="24">
      <pivotArea type="origin" dataOnly="0" labelOnly="1" outline="0" fieldPosition="0"/>
    </format>
    <format dxfId="23">
      <pivotArea field="1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Col="1" outline="0" fieldPosition="0"/>
    </format>
    <format dxfId="18">
      <pivotArea type="topRight" dataOnly="0" labelOnly="1" outline="0" offset="A1" fieldPosition="0"/>
    </format>
    <format dxfId="17">
      <pivotArea type="topRight" dataOnly="0" labelOnly="1" outline="0" offset="B1" fieldPosition="0"/>
    </format>
    <format dxfId="16">
      <pivotArea type="topRight" dataOnly="0" labelOnly="1" outline="0" offset="C1" fieldPosition="0"/>
    </format>
    <format dxfId="15">
      <pivotArea field="1" type="button" dataOnly="0" labelOnly="1" outline="0" axis="axisCol" fieldPosition="0"/>
    </format>
  </formats>
  <chartFormats count="65"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4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4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4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4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4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4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4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4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4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4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4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24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24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24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24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24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24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24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24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24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24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24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24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24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24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24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24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24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24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24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24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24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24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24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24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24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24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24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24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24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24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24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4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4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4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5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2"/>
          </reference>
        </references>
      </pivotArea>
    </chartFormat>
    <chartFormat chart="45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2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B9C96D3-4E87-491C-8598-539170005A91}" autoFormatId="16" applyNumberFormats="0" applyBorderFormats="0" applyFontFormats="0" applyPatternFormats="0" applyAlignmentFormats="0" applyWidthHeightFormats="0">
  <queryTableRefresh nextId="5">
    <queryTableFields count="3">
      <queryTableField id="1" name="Platform" tableColumnId="1"/>
      <queryTableField id="2" name="Net_followers" tableColumnId="2"/>
      <queryTableField id="3" name="Ad_Spend" tableColumnId="3"/>
    </queryTableFields>
    <queryTableDeletedFields count="1">
      <deletedField name="MA_3_Week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7F3AB42A-1386-49BC-92E3-9F851054A6C2}" autoFormatId="16" applyNumberFormats="0" applyBorderFormats="0" applyFontFormats="0" applyPatternFormats="0" applyAlignmentFormats="0" applyWidthHeightFormats="0">
  <queryTableRefresh nextId="5">
    <queryTableFields count="3">
      <queryTableField id="1" name="Platform" tableColumnId="1"/>
      <queryTableField id="2" name="Net_followers" tableColumnId="2"/>
      <queryTableField id="3" name="Ad_Spend" tableColumnId="3"/>
    </queryTableFields>
    <queryTableDeletedFields count="1">
      <deletedField name="MA_3_Week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6C60C2-06C3-4032-A472-60AAEABCAE37}" name="Task_6_4" displayName="Task_6_4" ref="A1:C201" tableType="queryTable" totalsRowShown="0" headerRowDxfId="14" dataDxfId="12" headerRowBorderDxfId="13" tableBorderDxfId="11" totalsRowBorderDxfId="10">
  <autoFilter ref="A1:C201" xr:uid="{D26C60C2-06C3-4032-A472-60AAEABCAE37}"/>
  <tableColumns count="3">
    <tableColumn id="1" xr3:uid="{FE53BC6D-04CA-4559-A2CA-3ECC8D2A7A27}" uniqueName="1" name="Platform" queryTableFieldId="1" dataDxfId="9"/>
    <tableColumn id="2" xr3:uid="{7D04E9F1-027F-4ADC-8821-BF027FAE8C41}" uniqueName="2" name="Net_followers" queryTableFieldId="2" dataDxfId="8"/>
    <tableColumn id="3" xr3:uid="{2AA40377-B27F-4961-9F53-235381EBD30F}" uniqueName="3" name="Ad_Spend" queryTableFieldId="3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02204B-9A25-4192-8207-A71E23E7F468}" name="Task_6_42" displayName="Task_6_42" ref="F2:H6" tableType="queryTable" totalsRowShown="0" headerRowDxfId="6" headerRowBorderDxfId="5" tableBorderDxfId="4" totalsRowBorderDxfId="3">
  <autoFilter ref="F2:H6" xr:uid="{3F02204B-9A25-4192-8207-A71E23E7F468}"/>
  <sortState xmlns:xlrd2="http://schemas.microsoft.com/office/spreadsheetml/2017/richdata2" ref="F3:H6">
    <sortCondition descending="1" ref="G2:G6"/>
  </sortState>
  <tableColumns count="3">
    <tableColumn id="1" xr3:uid="{B3462103-6D28-436A-BDAF-E553DBD33273}" uniqueName="1" name="Platform" queryTableFieldId="1" dataDxfId="2"/>
    <tableColumn id="2" xr3:uid="{82D20245-38B2-4E9C-AF62-A2C8BA8ECED0}" uniqueName="2" name="Total Net_followers" queryTableFieldId="2" dataDxfId="1"/>
    <tableColumn id="3" xr3:uid="{0BFC825A-5D7D-4141-A0FA-448A773F8368}" uniqueName="3" name="Total Ad_Spend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0DD4C-993D-423E-BB60-2FDE9F7DB005}">
  <dimension ref="A1:O149"/>
  <sheetViews>
    <sheetView tabSelected="1" zoomScale="95" zoomScaleNormal="95" workbookViewId="0">
      <selection activeCell="I25" sqref="I25"/>
    </sheetView>
  </sheetViews>
  <sheetFormatPr defaultRowHeight="14.4" x14ac:dyDescent="0.3"/>
  <cols>
    <col min="1" max="1" width="22.6640625" bestFit="1" customWidth="1"/>
    <col min="2" max="2" width="20.44140625" bestFit="1" customWidth="1"/>
    <col min="3" max="3" width="8.21875" bestFit="1" customWidth="1"/>
    <col min="4" max="4" width="7" bestFit="1" customWidth="1"/>
    <col min="5" max="5" width="8.44140625" bestFit="1" customWidth="1"/>
    <col min="6" max="6" width="10.77734375" bestFit="1" customWidth="1"/>
    <col min="7" max="7" width="8.77734375" bestFit="1" customWidth="1"/>
    <col min="8" max="10" width="9.77734375" bestFit="1" customWidth="1"/>
    <col min="11" max="11" width="8.77734375" bestFit="1" customWidth="1"/>
    <col min="12" max="14" width="9.77734375" bestFit="1" customWidth="1"/>
    <col min="15" max="16" width="8.77734375" bestFit="1" customWidth="1"/>
    <col min="17" max="20" width="9.77734375" bestFit="1" customWidth="1"/>
    <col min="21" max="23" width="10.77734375" bestFit="1" customWidth="1"/>
    <col min="24" max="24" width="9.77734375" bestFit="1" customWidth="1"/>
    <col min="25" max="27" width="10.77734375" bestFit="1" customWidth="1"/>
    <col min="28" max="29" width="9.77734375" bestFit="1" customWidth="1"/>
    <col min="30" max="32" width="10.77734375" bestFit="1" customWidth="1"/>
    <col min="33" max="33" width="8.77734375" bestFit="1" customWidth="1"/>
    <col min="34" max="36" width="9.77734375" bestFit="1" customWidth="1"/>
    <col min="37" max="37" width="8.77734375" bestFit="1" customWidth="1"/>
    <col min="38" max="40" width="9.77734375" bestFit="1" customWidth="1"/>
    <col min="41" max="41" width="8.77734375" bestFit="1" customWidth="1"/>
    <col min="42" max="45" width="9.77734375" bestFit="1" customWidth="1"/>
    <col min="46" max="46" width="8.77734375" bestFit="1" customWidth="1"/>
    <col min="47" max="49" width="9.77734375" bestFit="1" customWidth="1"/>
    <col min="50" max="50" width="8.77734375" bestFit="1" customWidth="1"/>
    <col min="51" max="51" width="9.77734375" bestFit="1" customWidth="1"/>
    <col min="52" max="52" width="10.77734375" bestFit="1" customWidth="1"/>
    <col min="53" max="53" width="9.6640625" bestFit="1" customWidth="1"/>
    <col min="54" max="54" width="10.77734375" bestFit="1" customWidth="1"/>
    <col min="55" max="55" width="14.5546875" bestFit="1" customWidth="1"/>
    <col min="56" max="56" width="11.77734375" bestFit="1" customWidth="1"/>
    <col min="57" max="57" width="14.5546875" bestFit="1" customWidth="1"/>
    <col min="58" max="58" width="12.77734375" bestFit="1" customWidth="1"/>
    <col min="59" max="59" width="15.5546875" bestFit="1" customWidth="1"/>
    <col min="60" max="60" width="12.77734375" bestFit="1" customWidth="1"/>
    <col min="61" max="61" width="15.5546875" bestFit="1" customWidth="1"/>
    <col min="62" max="62" width="12.77734375" bestFit="1" customWidth="1"/>
    <col min="63" max="63" width="15.5546875" bestFit="1" customWidth="1"/>
    <col min="64" max="64" width="10.77734375" bestFit="1" customWidth="1"/>
    <col min="65" max="65" width="13.5546875" bestFit="1" customWidth="1"/>
    <col min="66" max="66" width="11.77734375" bestFit="1" customWidth="1"/>
    <col min="67" max="67" width="14.5546875" bestFit="1" customWidth="1"/>
    <col min="68" max="68" width="11.77734375" bestFit="1" customWidth="1"/>
    <col min="69" max="69" width="14.5546875" bestFit="1" customWidth="1"/>
    <col min="70" max="70" width="11.77734375" bestFit="1" customWidth="1"/>
    <col min="71" max="71" width="14.5546875" bestFit="1" customWidth="1"/>
    <col min="72" max="72" width="10.77734375" bestFit="1" customWidth="1"/>
    <col min="73" max="73" width="13.5546875" bestFit="1" customWidth="1"/>
    <col min="74" max="74" width="11.77734375" bestFit="1" customWidth="1"/>
    <col min="75" max="75" width="14.5546875" bestFit="1" customWidth="1"/>
    <col min="76" max="76" width="11.77734375" bestFit="1" customWidth="1"/>
    <col min="77" max="77" width="14.5546875" bestFit="1" customWidth="1"/>
    <col min="78" max="78" width="11.77734375" bestFit="1" customWidth="1"/>
    <col min="79" max="79" width="14.5546875" bestFit="1" customWidth="1"/>
    <col min="80" max="80" width="10.77734375" bestFit="1" customWidth="1"/>
    <col min="81" max="81" width="13.5546875" bestFit="1" customWidth="1"/>
    <col min="82" max="82" width="11.77734375" bestFit="1" customWidth="1"/>
    <col min="83" max="83" width="14.5546875" bestFit="1" customWidth="1"/>
    <col min="84" max="84" width="11.77734375" bestFit="1" customWidth="1"/>
    <col min="85" max="85" width="14.5546875" bestFit="1" customWidth="1"/>
    <col min="86" max="86" width="11.77734375" bestFit="1" customWidth="1"/>
    <col min="87" max="87" width="14.5546875" bestFit="1" customWidth="1"/>
    <col min="88" max="88" width="11.77734375" bestFit="1" customWidth="1"/>
    <col min="89" max="89" width="14.5546875" bestFit="1" customWidth="1"/>
    <col min="90" max="90" width="10.77734375" bestFit="1" customWidth="1"/>
    <col min="91" max="91" width="13.5546875" bestFit="1" customWidth="1"/>
    <col min="92" max="92" width="11.77734375" bestFit="1" customWidth="1"/>
    <col min="93" max="93" width="14.5546875" bestFit="1" customWidth="1"/>
    <col min="94" max="94" width="11.77734375" bestFit="1" customWidth="1"/>
    <col min="95" max="95" width="14.5546875" bestFit="1" customWidth="1"/>
    <col min="96" max="96" width="11.77734375" bestFit="1" customWidth="1"/>
    <col min="97" max="97" width="14.5546875" bestFit="1" customWidth="1"/>
    <col min="98" max="98" width="10.77734375" bestFit="1" customWidth="1"/>
    <col min="99" max="99" width="13.5546875" bestFit="1" customWidth="1"/>
    <col min="100" max="100" width="11.77734375" bestFit="1" customWidth="1"/>
    <col min="101" max="101" width="14.5546875" bestFit="1" customWidth="1"/>
    <col min="102" max="102" width="10.77734375" bestFit="1" customWidth="1"/>
  </cols>
  <sheetData>
    <row r="1" spans="1:15" ht="15" thickBot="1" x14ac:dyDescent="0.35">
      <c r="A1" s="1" t="s">
        <v>6</v>
      </c>
      <c r="B1" s="1" t="s">
        <v>0</v>
      </c>
      <c r="C1" s="4"/>
      <c r="D1" s="5"/>
      <c r="E1" s="5"/>
      <c r="F1" s="5"/>
      <c r="I1" s="23" t="s">
        <v>15</v>
      </c>
      <c r="J1" s="23"/>
      <c r="K1" s="23"/>
      <c r="L1" s="23"/>
      <c r="M1" s="23"/>
      <c r="N1" s="23"/>
      <c r="O1" s="24"/>
    </row>
    <row r="2" spans="1:15" ht="15" thickBot="1" x14ac:dyDescent="0.35">
      <c r="A2" s="1" t="s">
        <v>7</v>
      </c>
      <c r="B2" s="2" t="s">
        <v>1</v>
      </c>
      <c r="C2" s="2" t="s">
        <v>4</v>
      </c>
      <c r="D2" s="2" t="s">
        <v>2</v>
      </c>
      <c r="E2" s="2" t="s">
        <v>3</v>
      </c>
      <c r="F2" s="2" t="s">
        <v>5</v>
      </c>
    </row>
    <row r="3" spans="1:15" ht="15" thickBot="1" x14ac:dyDescent="0.35">
      <c r="A3" s="3">
        <v>45446</v>
      </c>
      <c r="B3" s="2">
        <v>3777</v>
      </c>
      <c r="C3" s="2"/>
      <c r="D3" s="2">
        <v>7432</v>
      </c>
      <c r="E3" s="2">
        <v>15994</v>
      </c>
      <c r="F3" s="2">
        <v>27203</v>
      </c>
    </row>
    <row r="4" spans="1:15" ht="15" thickBot="1" x14ac:dyDescent="0.35">
      <c r="A4" s="3">
        <v>45453</v>
      </c>
      <c r="B4" s="2">
        <v>7215</v>
      </c>
      <c r="C4" s="2"/>
      <c r="D4" s="2">
        <v>8369</v>
      </c>
      <c r="E4" s="2">
        <v>7478</v>
      </c>
      <c r="F4" s="2">
        <v>23062</v>
      </c>
    </row>
    <row r="5" spans="1:15" ht="15" thickBot="1" x14ac:dyDescent="0.35">
      <c r="A5" s="3">
        <v>45460</v>
      </c>
      <c r="B5" s="2">
        <v>13130</v>
      </c>
      <c r="C5" s="2">
        <v>6728</v>
      </c>
      <c r="D5" s="2">
        <v>6073</v>
      </c>
      <c r="E5" s="2"/>
      <c r="F5" s="2">
        <v>25931</v>
      </c>
    </row>
    <row r="6" spans="1:15" ht="15" thickBot="1" x14ac:dyDescent="0.35">
      <c r="A6" s="3">
        <v>45467</v>
      </c>
      <c r="B6" s="2">
        <v>4885</v>
      </c>
      <c r="C6" s="2"/>
      <c r="D6" s="2">
        <v>15084</v>
      </c>
      <c r="E6" s="2">
        <v>8653</v>
      </c>
      <c r="F6" s="2">
        <v>28622</v>
      </c>
    </row>
    <row r="7" spans="1:15" ht="15" thickBot="1" x14ac:dyDescent="0.35">
      <c r="A7" s="3">
        <v>45474</v>
      </c>
      <c r="B7" s="2">
        <v>5928</v>
      </c>
      <c r="C7" s="2">
        <v>5442</v>
      </c>
      <c r="D7" s="2">
        <v>8463</v>
      </c>
      <c r="E7" s="2"/>
      <c r="F7" s="2">
        <v>19833</v>
      </c>
    </row>
    <row r="8" spans="1:15" ht="15" thickBot="1" x14ac:dyDescent="0.35">
      <c r="A8" s="3">
        <v>45481</v>
      </c>
      <c r="B8" s="2"/>
      <c r="C8" s="2">
        <v>11378</v>
      </c>
      <c r="D8" s="2">
        <v>7151</v>
      </c>
      <c r="E8" s="2"/>
      <c r="F8" s="2">
        <v>18529</v>
      </c>
    </row>
    <row r="9" spans="1:15" ht="15" thickBot="1" x14ac:dyDescent="0.35">
      <c r="A9" s="3">
        <v>45488</v>
      </c>
      <c r="B9" s="2">
        <v>4967</v>
      </c>
      <c r="C9" s="2"/>
      <c r="D9" s="2">
        <v>7092</v>
      </c>
      <c r="E9" s="2">
        <v>1826</v>
      </c>
      <c r="F9" s="2">
        <v>13885</v>
      </c>
    </row>
    <row r="10" spans="1:15" ht="15" thickBot="1" x14ac:dyDescent="0.35">
      <c r="A10" s="3">
        <v>45495</v>
      </c>
      <c r="B10" s="2"/>
      <c r="C10" s="2">
        <v>15403</v>
      </c>
      <c r="D10" s="2">
        <v>7733</v>
      </c>
      <c r="E10" s="2">
        <v>9082</v>
      </c>
      <c r="F10" s="2">
        <v>32218</v>
      </c>
    </row>
    <row r="11" spans="1:15" ht="15" thickBot="1" x14ac:dyDescent="0.35">
      <c r="A11" s="3">
        <v>45502</v>
      </c>
      <c r="B11" s="2"/>
      <c r="C11" s="2">
        <v>7537</v>
      </c>
      <c r="D11" s="2">
        <v>6039</v>
      </c>
      <c r="E11" s="2">
        <v>3445</v>
      </c>
      <c r="F11" s="2">
        <v>17021</v>
      </c>
    </row>
    <row r="12" spans="1:15" ht="15" thickBot="1" x14ac:dyDescent="0.35">
      <c r="A12" s="3">
        <v>45509</v>
      </c>
      <c r="B12" s="2">
        <v>3213</v>
      </c>
      <c r="C12" s="2">
        <v>4847</v>
      </c>
      <c r="D12" s="2">
        <v>3497</v>
      </c>
      <c r="E12" s="2">
        <v>2543</v>
      </c>
      <c r="F12" s="2">
        <v>14100</v>
      </c>
    </row>
    <row r="13" spans="1:15" ht="15" thickBot="1" x14ac:dyDescent="0.35">
      <c r="A13" s="3">
        <v>45516</v>
      </c>
      <c r="B13" s="2">
        <v>6853</v>
      </c>
      <c r="C13" s="2"/>
      <c r="D13" s="2">
        <v>12800</v>
      </c>
      <c r="E13" s="2">
        <v>7033</v>
      </c>
      <c r="F13" s="2">
        <v>26686</v>
      </c>
    </row>
    <row r="14" spans="1:15" ht="15" thickBot="1" x14ac:dyDescent="0.35">
      <c r="A14" s="3">
        <v>45523</v>
      </c>
      <c r="B14" s="2">
        <v>13835</v>
      </c>
      <c r="C14" s="2"/>
      <c r="D14" s="2"/>
      <c r="E14" s="2">
        <v>9427</v>
      </c>
      <c r="F14" s="2">
        <v>23262</v>
      </c>
    </row>
    <row r="15" spans="1:15" ht="15" thickBot="1" x14ac:dyDescent="0.35">
      <c r="A15" s="3">
        <v>45530</v>
      </c>
      <c r="B15" s="2">
        <v>8231</v>
      </c>
      <c r="C15" s="2">
        <v>1513</v>
      </c>
      <c r="D15" s="2">
        <v>5753</v>
      </c>
      <c r="E15" s="2">
        <v>5303</v>
      </c>
      <c r="F15" s="2">
        <v>20800</v>
      </c>
    </row>
    <row r="16" spans="1:15" ht="15" thickBot="1" x14ac:dyDescent="0.35">
      <c r="A16" s="3">
        <v>45537</v>
      </c>
      <c r="B16" s="2">
        <v>7396</v>
      </c>
      <c r="C16" s="2">
        <v>8228</v>
      </c>
      <c r="D16" s="2">
        <v>6593</v>
      </c>
      <c r="E16" s="2"/>
      <c r="F16" s="2">
        <v>22217</v>
      </c>
    </row>
    <row r="17" spans="1:6" ht="15" thickBot="1" x14ac:dyDescent="0.35">
      <c r="A17" s="3">
        <v>45544</v>
      </c>
      <c r="B17" s="2">
        <v>7442</v>
      </c>
      <c r="C17" s="2">
        <v>6121</v>
      </c>
      <c r="D17" s="2"/>
      <c r="E17" s="2">
        <v>11613</v>
      </c>
      <c r="F17" s="2">
        <v>25176</v>
      </c>
    </row>
    <row r="18" spans="1:6" ht="15" thickBot="1" x14ac:dyDescent="0.35">
      <c r="A18" s="3">
        <v>45551</v>
      </c>
      <c r="B18" s="2"/>
      <c r="C18" s="2">
        <v>2199</v>
      </c>
      <c r="D18" s="2">
        <v>3925</v>
      </c>
      <c r="E18" s="2">
        <v>9308</v>
      </c>
      <c r="F18" s="2">
        <v>15432</v>
      </c>
    </row>
    <row r="19" spans="1:6" ht="15" thickBot="1" x14ac:dyDescent="0.35">
      <c r="A19" s="3">
        <v>45558</v>
      </c>
      <c r="B19" s="2">
        <v>13040</v>
      </c>
      <c r="C19" s="2"/>
      <c r="D19" s="2">
        <v>4942</v>
      </c>
      <c r="E19" s="2"/>
      <c r="F19" s="2">
        <v>17982</v>
      </c>
    </row>
    <row r="20" spans="1:6" ht="15" thickBot="1" x14ac:dyDescent="0.35">
      <c r="A20" s="3">
        <v>45565</v>
      </c>
      <c r="B20" s="2">
        <v>9904</v>
      </c>
      <c r="C20" s="2"/>
      <c r="D20" s="2">
        <v>8530</v>
      </c>
      <c r="E20" s="2"/>
      <c r="F20" s="2">
        <v>18434</v>
      </c>
    </row>
    <row r="21" spans="1:6" ht="15" thickBot="1" x14ac:dyDescent="0.35">
      <c r="A21" s="3">
        <v>45572</v>
      </c>
      <c r="B21" s="2">
        <v>4808</v>
      </c>
      <c r="C21" s="2">
        <v>2421</v>
      </c>
      <c r="D21" s="2"/>
      <c r="E21" s="2">
        <v>10348</v>
      </c>
      <c r="F21" s="2">
        <v>17577</v>
      </c>
    </row>
    <row r="22" spans="1:6" ht="15" thickBot="1" x14ac:dyDescent="0.35">
      <c r="A22" s="3">
        <v>45579</v>
      </c>
      <c r="B22" s="2"/>
      <c r="C22" s="2"/>
      <c r="D22" s="2">
        <v>16256</v>
      </c>
      <c r="E22" s="2">
        <v>7115</v>
      </c>
      <c r="F22" s="2">
        <v>23371</v>
      </c>
    </row>
    <row r="23" spans="1:6" ht="15" thickBot="1" x14ac:dyDescent="0.35">
      <c r="A23" s="3">
        <v>45586</v>
      </c>
      <c r="B23" s="2">
        <v>23973</v>
      </c>
      <c r="C23" s="2"/>
      <c r="D23" s="2"/>
      <c r="E23" s="2">
        <v>6918</v>
      </c>
      <c r="F23" s="2">
        <v>30891</v>
      </c>
    </row>
    <row r="24" spans="1:6" ht="15" thickBot="1" x14ac:dyDescent="0.35">
      <c r="A24" s="3">
        <v>45593</v>
      </c>
      <c r="B24" s="2"/>
      <c r="C24" s="2">
        <v>14812</v>
      </c>
      <c r="D24" s="2"/>
      <c r="E24" s="2">
        <v>12442</v>
      </c>
      <c r="F24" s="2">
        <v>27254</v>
      </c>
    </row>
    <row r="25" spans="1:6" ht="15" thickBot="1" x14ac:dyDescent="0.35">
      <c r="A25" s="3">
        <v>45600</v>
      </c>
      <c r="B25" s="2"/>
      <c r="C25" s="2">
        <v>4942</v>
      </c>
      <c r="D25" s="2">
        <v>8687</v>
      </c>
      <c r="E25" s="2">
        <v>3056</v>
      </c>
      <c r="F25" s="2">
        <v>16685</v>
      </c>
    </row>
    <row r="26" spans="1:6" ht="15" thickBot="1" x14ac:dyDescent="0.35">
      <c r="A26" s="3">
        <v>45607</v>
      </c>
      <c r="B26" s="2"/>
      <c r="C26" s="2">
        <v>4882</v>
      </c>
      <c r="D26" s="2">
        <v>9649</v>
      </c>
      <c r="E26" s="2">
        <v>5220</v>
      </c>
      <c r="F26" s="2">
        <v>19751</v>
      </c>
    </row>
    <row r="27" spans="1:6" ht="15" thickBot="1" x14ac:dyDescent="0.35">
      <c r="A27" s="3">
        <v>45614</v>
      </c>
      <c r="B27" s="2">
        <v>5206</v>
      </c>
      <c r="C27" s="2">
        <v>9648</v>
      </c>
      <c r="D27" s="2">
        <v>6384</v>
      </c>
      <c r="E27" s="2"/>
      <c r="F27" s="2">
        <v>21238</v>
      </c>
    </row>
    <row r="28" spans="1:6" ht="15" thickBot="1" x14ac:dyDescent="0.35">
      <c r="A28" s="3">
        <v>45621</v>
      </c>
      <c r="B28" s="2">
        <v>14537</v>
      </c>
      <c r="C28" s="2">
        <v>8945</v>
      </c>
      <c r="D28" s="2"/>
      <c r="E28" s="2">
        <v>5143</v>
      </c>
      <c r="F28" s="2">
        <v>28625</v>
      </c>
    </row>
    <row r="29" spans="1:6" ht="15" thickBot="1" x14ac:dyDescent="0.35">
      <c r="A29" s="3">
        <v>45628</v>
      </c>
      <c r="B29" s="2">
        <v>8999</v>
      </c>
      <c r="C29" s="2">
        <v>5402</v>
      </c>
      <c r="D29" s="2"/>
      <c r="E29" s="2">
        <v>3929</v>
      </c>
      <c r="F29" s="2">
        <v>18330</v>
      </c>
    </row>
    <row r="30" spans="1:6" ht="15" thickBot="1" x14ac:dyDescent="0.35">
      <c r="A30" s="3">
        <v>45635</v>
      </c>
      <c r="B30" s="2">
        <v>3461</v>
      </c>
      <c r="C30" s="2">
        <v>949</v>
      </c>
      <c r="D30" s="2">
        <v>6642</v>
      </c>
      <c r="E30" s="2">
        <v>4790</v>
      </c>
      <c r="F30" s="2">
        <v>15842</v>
      </c>
    </row>
    <row r="31" spans="1:6" ht="15" thickBot="1" x14ac:dyDescent="0.35">
      <c r="A31" s="3">
        <v>45642</v>
      </c>
      <c r="B31" s="2">
        <v>4802</v>
      </c>
      <c r="C31" s="2">
        <v>8527</v>
      </c>
      <c r="D31" s="2">
        <v>6275</v>
      </c>
      <c r="E31" s="2"/>
      <c r="F31" s="2">
        <v>19604</v>
      </c>
    </row>
    <row r="32" spans="1:6" ht="15" thickBot="1" x14ac:dyDescent="0.35">
      <c r="A32" s="3">
        <v>45649</v>
      </c>
      <c r="B32" s="2">
        <v>4314</v>
      </c>
      <c r="C32" s="2">
        <v>7541</v>
      </c>
      <c r="D32" s="2"/>
      <c r="E32" s="2">
        <v>7328</v>
      </c>
      <c r="F32" s="2">
        <v>19183</v>
      </c>
    </row>
    <row r="33" spans="1:6" ht="15" thickBot="1" x14ac:dyDescent="0.35">
      <c r="A33" s="3">
        <v>45656</v>
      </c>
      <c r="B33" s="2">
        <v>4214</v>
      </c>
      <c r="C33" s="2">
        <v>16577</v>
      </c>
      <c r="D33" s="2">
        <v>3079</v>
      </c>
      <c r="E33" s="2"/>
      <c r="F33" s="2">
        <v>23870</v>
      </c>
    </row>
    <row r="34" spans="1:6" ht="15" thickBot="1" x14ac:dyDescent="0.35">
      <c r="A34" s="3">
        <v>45663</v>
      </c>
      <c r="B34" s="2"/>
      <c r="C34" s="2">
        <v>9254</v>
      </c>
      <c r="D34" s="2">
        <v>9202</v>
      </c>
      <c r="E34" s="2">
        <v>8601</v>
      </c>
      <c r="F34" s="2">
        <v>27057</v>
      </c>
    </row>
    <row r="35" spans="1:6" ht="15" thickBot="1" x14ac:dyDescent="0.35">
      <c r="A35" s="3">
        <v>45670</v>
      </c>
      <c r="B35" s="2">
        <v>2919</v>
      </c>
      <c r="C35" s="2">
        <v>7471</v>
      </c>
      <c r="D35" s="2">
        <v>7346</v>
      </c>
      <c r="E35" s="2">
        <v>1001</v>
      </c>
      <c r="F35" s="2">
        <v>18737</v>
      </c>
    </row>
    <row r="36" spans="1:6" ht="15" thickBot="1" x14ac:dyDescent="0.35">
      <c r="A36" s="3">
        <v>45677</v>
      </c>
      <c r="B36" s="2"/>
      <c r="C36" s="2"/>
      <c r="D36" s="2">
        <v>20155</v>
      </c>
      <c r="E36" s="2">
        <v>7654</v>
      </c>
      <c r="F36" s="2">
        <v>27809</v>
      </c>
    </row>
    <row r="37" spans="1:6" ht="15" thickBot="1" x14ac:dyDescent="0.35">
      <c r="A37" s="3">
        <v>45684</v>
      </c>
      <c r="B37" s="2">
        <v>3643</v>
      </c>
      <c r="C37" s="2">
        <v>7260</v>
      </c>
      <c r="D37" s="2">
        <v>11789</v>
      </c>
      <c r="E37" s="2"/>
      <c r="F37" s="2">
        <v>22692</v>
      </c>
    </row>
    <row r="38" spans="1:6" ht="15" thickBot="1" x14ac:dyDescent="0.35">
      <c r="A38" s="3">
        <v>45691</v>
      </c>
      <c r="B38" s="2"/>
      <c r="C38" s="2"/>
      <c r="D38" s="2">
        <v>16086</v>
      </c>
      <c r="E38" s="2">
        <v>12447</v>
      </c>
      <c r="F38" s="2">
        <v>28533</v>
      </c>
    </row>
    <row r="39" spans="1:6" ht="15" thickBot="1" x14ac:dyDescent="0.35">
      <c r="A39" s="3">
        <v>45698</v>
      </c>
      <c r="B39" s="2"/>
      <c r="C39" s="2">
        <v>12622</v>
      </c>
      <c r="D39" s="2">
        <v>1020</v>
      </c>
      <c r="E39" s="2"/>
      <c r="F39" s="2">
        <v>13642</v>
      </c>
    </row>
    <row r="40" spans="1:6" ht="15" thickBot="1" x14ac:dyDescent="0.35">
      <c r="A40" s="3">
        <v>45705</v>
      </c>
      <c r="B40" s="2">
        <v>11468</v>
      </c>
      <c r="C40" s="2">
        <v>5101</v>
      </c>
      <c r="D40" s="2">
        <v>1290</v>
      </c>
      <c r="E40" s="2"/>
      <c r="F40" s="2">
        <v>17859</v>
      </c>
    </row>
    <row r="41" spans="1:6" ht="15" thickBot="1" x14ac:dyDescent="0.35">
      <c r="A41" s="3">
        <v>45712</v>
      </c>
      <c r="B41" s="2">
        <v>15087</v>
      </c>
      <c r="C41" s="2"/>
      <c r="D41" s="2"/>
      <c r="E41" s="2">
        <v>15359</v>
      </c>
      <c r="F41" s="2">
        <v>30446</v>
      </c>
    </row>
    <row r="42" spans="1:6" ht="15" thickBot="1" x14ac:dyDescent="0.35">
      <c r="A42" s="3">
        <v>45719</v>
      </c>
      <c r="B42" s="2"/>
      <c r="C42" s="2">
        <v>7432</v>
      </c>
      <c r="D42" s="2">
        <v>6326</v>
      </c>
      <c r="E42" s="2">
        <v>6631</v>
      </c>
      <c r="F42" s="2">
        <v>20389</v>
      </c>
    </row>
    <row r="43" spans="1:6" ht="15" thickBot="1" x14ac:dyDescent="0.35">
      <c r="A43" s="3">
        <v>45726</v>
      </c>
      <c r="B43" s="2">
        <v>2994</v>
      </c>
      <c r="C43" s="2">
        <v>2535</v>
      </c>
      <c r="D43" s="2">
        <v>8723</v>
      </c>
      <c r="E43" s="2">
        <v>3555</v>
      </c>
      <c r="F43" s="2">
        <v>17807</v>
      </c>
    </row>
    <row r="44" spans="1:6" ht="15" thickBot="1" x14ac:dyDescent="0.35">
      <c r="A44" s="3">
        <v>45733</v>
      </c>
      <c r="B44" s="2">
        <v>8292</v>
      </c>
      <c r="C44" s="2">
        <v>19728</v>
      </c>
      <c r="D44" s="2"/>
      <c r="E44" s="2"/>
      <c r="F44" s="2">
        <v>28020</v>
      </c>
    </row>
    <row r="45" spans="1:6" ht="15" thickBot="1" x14ac:dyDescent="0.35">
      <c r="A45" s="3">
        <v>45740</v>
      </c>
      <c r="B45" s="2"/>
      <c r="C45" s="2">
        <v>21227</v>
      </c>
      <c r="D45" s="2"/>
      <c r="E45" s="2">
        <v>4189</v>
      </c>
      <c r="F45" s="2">
        <v>25416</v>
      </c>
    </row>
    <row r="46" spans="1:6" ht="15" thickBot="1" x14ac:dyDescent="0.35">
      <c r="A46" s="3">
        <v>45747</v>
      </c>
      <c r="B46" s="2">
        <v>6128</v>
      </c>
      <c r="C46" s="2">
        <v>1660</v>
      </c>
      <c r="D46" s="2">
        <v>6272</v>
      </c>
      <c r="E46" s="2">
        <v>1567</v>
      </c>
      <c r="F46" s="2">
        <v>15627</v>
      </c>
    </row>
    <row r="47" spans="1:6" ht="15" thickBot="1" x14ac:dyDescent="0.35">
      <c r="A47" s="3">
        <v>45754</v>
      </c>
      <c r="B47" s="2">
        <v>1425</v>
      </c>
      <c r="C47" s="2">
        <v>4542</v>
      </c>
      <c r="D47" s="2">
        <v>8319</v>
      </c>
      <c r="E47" s="2">
        <v>6434</v>
      </c>
      <c r="F47" s="2">
        <v>20720</v>
      </c>
    </row>
    <row r="48" spans="1:6" ht="15" thickBot="1" x14ac:dyDescent="0.35">
      <c r="A48" s="3">
        <v>45761</v>
      </c>
      <c r="B48" s="2"/>
      <c r="C48" s="2">
        <v>24995</v>
      </c>
      <c r="D48" s="2"/>
      <c r="E48" s="2"/>
      <c r="F48" s="2">
        <v>24995</v>
      </c>
    </row>
    <row r="49" spans="1:6" ht="15" thickBot="1" x14ac:dyDescent="0.35">
      <c r="A49" s="3">
        <v>45768</v>
      </c>
      <c r="B49" s="2">
        <v>15012</v>
      </c>
      <c r="C49" s="2"/>
      <c r="D49" s="2">
        <v>7058</v>
      </c>
      <c r="E49" s="2"/>
      <c r="F49" s="2">
        <v>22070</v>
      </c>
    </row>
    <row r="50" spans="1:6" ht="15" thickBot="1" x14ac:dyDescent="0.35">
      <c r="A50" s="3">
        <v>45775</v>
      </c>
      <c r="B50" s="2"/>
      <c r="C50" s="2">
        <v>1512</v>
      </c>
      <c r="D50" s="2">
        <v>15937</v>
      </c>
      <c r="E50" s="2"/>
      <c r="F50" s="2">
        <v>17449</v>
      </c>
    </row>
    <row r="51" spans="1:6" ht="15" thickBot="1" x14ac:dyDescent="0.35">
      <c r="A51" s="3">
        <v>45782</v>
      </c>
      <c r="B51" s="2">
        <v>7959</v>
      </c>
      <c r="C51" s="2">
        <v>2960</v>
      </c>
      <c r="D51" s="2"/>
      <c r="E51" s="2">
        <v>5210</v>
      </c>
      <c r="F51" s="2">
        <v>16129</v>
      </c>
    </row>
    <row r="52" spans="1:6" ht="15" thickBot="1" x14ac:dyDescent="0.35">
      <c r="A52" s="3">
        <v>45789</v>
      </c>
      <c r="B52" s="2">
        <v>2805</v>
      </c>
      <c r="C52" s="2">
        <v>8146</v>
      </c>
      <c r="D52" s="2">
        <v>7436</v>
      </c>
      <c r="E52" s="2"/>
      <c r="F52" s="2">
        <v>18387</v>
      </c>
    </row>
    <row r="53" spans="1:6" ht="15" thickBot="1" x14ac:dyDescent="0.35">
      <c r="A53" s="2" t="s">
        <v>5</v>
      </c>
      <c r="B53" s="2">
        <v>261862</v>
      </c>
      <c r="C53" s="2">
        <v>290487</v>
      </c>
      <c r="D53" s="2">
        <v>303407</v>
      </c>
      <c r="E53" s="2">
        <v>230642</v>
      </c>
      <c r="F53" s="2">
        <v>1086398</v>
      </c>
    </row>
    <row r="55" spans="1:6" ht="15" thickBot="1" x14ac:dyDescent="0.35"/>
    <row r="56" spans="1:6" ht="15" thickBot="1" x14ac:dyDescent="0.35"/>
    <row r="57" spans="1:6" ht="15" thickBot="1" x14ac:dyDescent="0.35"/>
    <row r="58" spans="1:6" ht="15" thickBot="1" x14ac:dyDescent="0.35"/>
    <row r="59" spans="1:6" ht="15" thickBot="1" x14ac:dyDescent="0.35"/>
    <row r="60" spans="1:6" ht="15" thickBot="1" x14ac:dyDescent="0.35"/>
    <row r="61" spans="1:6" ht="15" thickBot="1" x14ac:dyDescent="0.35"/>
    <row r="62" spans="1:6" ht="15" thickBot="1" x14ac:dyDescent="0.35"/>
    <row r="63" spans="1:6" ht="15" thickBot="1" x14ac:dyDescent="0.35"/>
    <row r="64" spans="1:6" ht="15" thickBot="1" x14ac:dyDescent="0.35"/>
    <row r="65" ht="15" thickBot="1" x14ac:dyDescent="0.35"/>
    <row r="66" ht="15" thickBot="1" x14ac:dyDescent="0.35"/>
    <row r="67" ht="15" thickBot="1" x14ac:dyDescent="0.35"/>
    <row r="68" ht="15" thickBot="1" x14ac:dyDescent="0.35"/>
    <row r="69" ht="15" thickBot="1" x14ac:dyDescent="0.35"/>
    <row r="70" ht="15" thickBot="1" x14ac:dyDescent="0.35"/>
    <row r="71" ht="15" thickBot="1" x14ac:dyDescent="0.35"/>
    <row r="72" ht="15" thickBot="1" x14ac:dyDescent="0.35"/>
    <row r="73" ht="15" thickBot="1" x14ac:dyDescent="0.35"/>
    <row r="74" ht="15" thickBot="1" x14ac:dyDescent="0.35"/>
    <row r="75" ht="15" thickBot="1" x14ac:dyDescent="0.35"/>
    <row r="76" ht="15" thickBot="1" x14ac:dyDescent="0.35"/>
    <row r="77" ht="15" thickBot="1" x14ac:dyDescent="0.35"/>
    <row r="78" ht="15" thickBot="1" x14ac:dyDescent="0.35"/>
    <row r="79" ht="15" thickBot="1" x14ac:dyDescent="0.35"/>
    <row r="80" ht="15" thickBot="1" x14ac:dyDescent="0.35"/>
    <row r="81" ht="15" thickBot="1" x14ac:dyDescent="0.35"/>
    <row r="82" ht="15" thickBot="1" x14ac:dyDescent="0.35"/>
    <row r="83" ht="15" thickBot="1" x14ac:dyDescent="0.35"/>
    <row r="84" ht="15" thickBot="1" x14ac:dyDescent="0.35"/>
    <row r="85" ht="15" thickBot="1" x14ac:dyDescent="0.35"/>
    <row r="86" ht="15" thickBot="1" x14ac:dyDescent="0.35"/>
    <row r="87" ht="15" thickBot="1" x14ac:dyDescent="0.35"/>
    <row r="88" ht="15" thickBot="1" x14ac:dyDescent="0.35"/>
    <row r="89" ht="15" thickBot="1" x14ac:dyDescent="0.35"/>
    <row r="90" ht="15" thickBot="1" x14ac:dyDescent="0.35"/>
    <row r="91" ht="15" thickBot="1" x14ac:dyDescent="0.35"/>
    <row r="92" ht="15" thickBot="1" x14ac:dyDescent="0.35"/>
    <row r="93" ht="15" thickBot="1" x14ac:dyDescent="0.35"/>
    <row r="94" ht="15" thickBot="1" x14ac:dyDescent="0.35"/>
    <row r="95" ht="15" thickBot="1" x14ac:dyDescent="0.35"/>
    <row r="96" ht="15" thickBot="1" x14ac:dyDescent="0.35"/>
    <row r="97" ht="15" thickBot="1" x14ac:dyDescent="0.35"/>
    <row r="98" ht="15" thickBot="1" x14ac:dyDescent="0.35"/>
    <row r="99" ht="15" thickBot="1" x14ac:dyDescent="0.35"/>
    <row r="100" ht="15" thickBot="1" x14ac:dyDescent="0.35"/>
    <row r="101" ht="15" thickBot="1" x14ac:dyDescent="0.35"/>
    <row r="102" ht="15" thickBot="1" x14ac:dyDescent="0.35"/>
    <row r="103" ht="15" thickBot="1" x14ac:dyDescent="0.35"/>
    <row r="104" ht="15" thickBot="1" x14ac:dyDescent="0.35"/>
    <row r="105" ht="15" thickBot="1" x14ac:dyDescent="0.35"/>
    <row r="106" ht="15" thickBot="1" x14ac:dyDescent="0.35"/>
    <row r="107" ht="15" thickBot="1" x14ac:dyDescent="0.35"/>
    <row r="108" ht="15" thickBot="1" x14ac:dyDescent="0.35"/>
    <row r="109" ht="15" thickBot="1" x14ac:dyDescent="0.35"/>
    <row r="110" ht="15" thickBot="1" x14ac:dyDescent="0.35"/>
    <row r="111" ht="15" thickBot="1" x14ac:dyDescent="0.35"/>
    <row r="112" ht="15" thickBot="1" x14ac:dyDescent="0.35"/>
    <row r="113" ht="15" thickBot="1" x14ac:dyDescent="0.35"/>
    <row r="114" ht="15" thickBot="1" x14ac:dyDescent="0.35"/>
    <row r="115" ht="15" thickBot="1" x14ac:dyDescent="0.35"/>
    <row r="116" ht="15" thickBot="1" x14ac:dyDescent="0.35"/>
    <row r="117" ht="15" thickBot="1" x14ac:dyDescent="0.35"/>
    <row r="118" ht="15" thickBot="1" x14ac:dyDescent="0.35"/>
    <row r="119" ht="15" thickBot="1" x14ac:dyDescent="0.35"/>
    <row r="120" ht="15" thickBot="1" x14ac:dyDescent="0.35"/>
    <row r="121" ht="15" thickBot="1" x14ac:dyDescent="0.35"/>
    <row r="122" ht="15" thickBot="1" x14ac:dyDescent="0.35"/>
    <row r="123" ht="15" thickBot="1" x14ac:dyDescent="0.35"/>
    <row r="124" ht="15" thickBot="1" x14ac:dyDescent="0.35"/>
    <row r="125" ht="15" thickBot="1" x14ac:dyDescent="0.35"/>
    <row r="126" ht="15" thickBot="1" x14ac:dyDescent="0.35"/>
    <row r="127" ht="15" thickBot="1" x14ac:dyDescent="0.35"/>
    <row r="128" ht="15" thickBot="1" x14ac:dyDescent="0.35"/>
    <row r="129" ht="15" thickBot="1" x14ac:dyDescent="0.35"/>
    <row r="130" ht="15" thickBot="1" x14ac:dyDescent="0.35"/>
    <row r="131" ht="15" thickBot="1" x14ac:dyDescent="0.35"/>
    <row r="132" ht="15" thickBot="1" x14ac:dyDescent="0.35"/>
    <row r="133" ht="15" thickBot="1" x14ac:dyDescent="0.35"/>
    <row r="134" ht="15" thickBot="1" x14ac:dyDescent="0.35"/>
    <row r="135" ht="15" thickBot="1" x14ac:dyDescent="0.35"/>
    <row r="136" ht="15" thickBot="1" x14ac:dyDescent="0.35"/>
    <row r="137" ht="15" thickBot="1" x14ac:dyDescent="0.35"/>
    <row r="138" ht="15" thickBot="1" x14ac:dyDescent="0.35"/>
    <row r="139" ht="15" thickBot="1" x14ac:dyDescent="0.35"/>
    <row r="140" ht="15" thickBot="1" x14ac:dyDescent="0.35"/>
    <row r="141" ht="15" thickBot="1" x14ac:dyDescent="0.35"/>
    <row r="142" ht="15" thickBot="1" x14ac:dyDescent="0.35"/>
    <row r="143" ht="15" thickBot="1" x14ac:dyDescent="0.35"/>
    <row r="144" ht="15" thickBot="1" x14ac:dyDescent="0.35"/>
    <row r="145" ht="15" thickBot="1" x14ac:dyDescent="0.35"/>
    <row r="146" ht="15" thickBot="1" x14ac:dyDescent="0.35"/>
    <row r="148" ht="15" thickBot="1" x14ac:dyDescent="0.35"/>
    <row r="149" ht="15" thickBot="1" x14ac:dyDescent="0.35"/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EB0B-EF76-425F-8707-F77EA52A205F}">
  <dimension ref="A1:K192"/>
  <sheetViews>
    <sheetView workbookViewId="0">
      <selection activeCell="K1" sqref="H1:K1"/>
    </sheetView>
  </sheetViews>
  <sheetFormatPr defaultRowHeight="14.4" x14ac:dyDescent="0.3"/>
  <cols>
    <col min="1" max="1" width="20.5546875" bestFit="1" customWidth="1"/>
    <col min="2" max="2" width="12.77734375" bestFit="1" customWidth="1"/>
    <col min="3" max="3" width="8.21875" bestFit="1" customWidth="1"/>
    <col min="4" max="4" width="7" bestFit="1" customWidth="1"/>
    <col min="5" max="5" width="8.44140625" bestFit="1" customWidth="1"/>
    <col min="6" max="6" width="10.77734375" bestFit="1" customWidth="1"/>
    <col min="7" max="51" width="10.33203125" bestFit="1" customWidth="1"/>
    <col min="52" max="52" width="10.5546875" bestFit="1" customWidth="1"/>
    <col min="53" max="53" width="9.6640625" bestFit="1" customWidth="1"/>
    <col min="54" max="54" width="10.77734375" bestFit="1" customWidth="1"/>
    <col min="55" max="55" width="14.5546875" bestFit="1" customWidth="1"/>
    <col min="56" max="56" width="11.77734375" bestFit="1" customWidth="1"/>
    <col min="57" max="57" width="14.5546875" bestFit="1" customWidth="1"/>
    <col min="58" max="58" width="12.77734375" bestFit="1" customWidth="1"/>
    <col min="59" max="59" width="15.5546875" bestFit="1" customWidth="1"/>
    <col min="60" max="60" width="12.77734375" bestFit="1" customWidth="1"/>
    <col min="61" max="61" width="15.5546875" bestFit="1" customWidth="1"/>
    <col min="62" max="62" width="12.77734375" bestFit="1" customWidth="1"/>
    <col min="63" max="63" width="15.5546875" bestFit="1" customWidth="1"/>
    <col min="64" max="64" width="10.77734375" bestFit="1" customWidth="1"/>
    <col min="65" max="65" width="13.5546875" bestFit="1" customWidth="1"/>
    <col min="66" max="66" width="11.77734375" bestFit="1" customWidth="1"/>
    <col min="67" max="67" width="14.5546875" bestFit="1" customWidth="1"/>
    <col min="68" max="68" width="11.77734375" bestFit="1" customWidth="1"/>
    <col min="69" max="69" width="14.5546875" bestFit="1" customWidth="1"/>
    <col min="70" max="70" width="11.77734375" bestFit="1" customWidth="1"/>
    <col min="71" max="71" width="14.5546875" bestFit="1" customWidth="1"/>
    <col min="72" max="72" width="10.77734375" bestFit="1" customWidth="1"/>
    <col min="73" max="73" width="13.5546875" bestFit="1" customWidth="1"/>
    <col min="74" max="74" width="11.77734375" bestFit="1" customWidth="1"/>
    <col min="75" max="75" width="14.5546875" bestFit="1" customWidth="1"/>
    <col min="76" max="76" width="11.77734375" bestFit="1" customWidth="1"/>
    <col min="77" max="77" width="14.5546875" bestFit="1" customWidth="1"/>
    <col min="78" max="78" width="11.77734375" bestFit="1" customWidth="1"/>
    <col min="79" max="79" width="14.5546875" bestFit="1" customWidth="1"/>
    <col min="80" max="80" width="10.77734375" bestFit="1" customWidth="1"/>
    <col min="81" max="81" width="13.5546875" bestFit="1" customWidth="1"/>
    <col min="82" max="82" width="11.77734375" bestFit="1" customWidth="1"/>
    <col min="83" max="83" width="14.5546875" bestFit="1" customWidth="1"/>
    <col min="84" max="84" width="11.77734375" bestFit="1" customWidth="1"/>
    <col min="85" max="85" width="14.5546875" bestFit="1" customWidth="1"/>
    <col min="86" max="86" width="11.77734375" bestFit="1" customWidth="1"/>
    <col min="87" max="87" width="14.5546875" bestFit="1" customWidth="1"/>
    <col min="88" max="88" width="11.77734375" bestFit="1" customWidth="1"/>
    <col min="89" max="89" width="14.5546875" bestFit="1" customWidth="1"/>
    <col min="90" max="90" width="10.77734375" bestFit="1" customWidth="1"/>
    <col min="91" max="91" width="13.5546875" bestFit="1" customWidth="1"/>
    <col min="92" max="92" width="11.77734375" bestFit="1" customWidth="1"/>
    <col min="93" max="93" width="14.5546875" bestFit="1" customWidth="1"/>
    <col min="94" max="94" width="11.77734375" bestFit="1" customWidth="1"/>
    <col min="95" max="95" width="14.5546875" bestFit="1" customWidth="1"/>
    <col min="96" max="96" width="11.77734375" bestFit="1" customWidth="1"/>
    <col min="97" max="97" width="14.5546875" bestFit="1" customWidth="1"/>
    <col min="98" max="98" width="10.77734375" bestFit="1" customWidth="1"/>
    <col min="99" max="99" width="13.5546875" bestFit="1" customWidth="1"/>
    <col min="100" max="100" width="11.77734375" bestFit="1" customWidth="1"/>
    <col min="101" max="101" width="14.5546875" bestFit="1" customWidth="1"/>
    <col min="102" max="102" width="10.77734375" bestFit="1" customWidth="1"/>
  </cols>
  <sheetData>
    <row r="1" spans="1:11" ht="15" thickBot="1" x14ac:dyDescent="0.35">
      <c r="A1" s="6" t="s">
        <v>6</v>
      </c>
      <c r="B1" s="9" t="s">
        <v>0</v>
      </c>
      <c r="C1" s="7"/>
      <c r="D1" s="7"/>
      <c r="E1" s="7"/>
      <c r="F1" s="7"/>
      <c r="H1" s="23" t="s">
        <v>14</v>
      </c>
      <c r="I1" s="23"/>
      <c r="J1" s="23"/>
      <c r="K1" s="23"/>
    </row>
    <row r="2" spans="1:11" ht="15" thickBot="1" x14ac:dyDescent="0.35">
      <c r="A2" s="6" t="s">
        <v>7</v>
      </c>
      <c r="B2" s="8" t="s">
        <v>1</v>
      </c>
      <c r="C2" s="8" t="s">
        <v>4</v>
      </c>
      <c r="D2" s="8" t="s">
        <v>2</v>
      </c>
      <c r="E2" s="8" t="s">
        <v>3</v>
      </c>
      <c r="F2" s="8" t="s">
        <v>5</v>
      </c>
    </row>
    <row r="3" spans="1:11" ht="15" thickBot="1" x14ac:dyDescent="0.35">
      <c r="A3" s="3">
        <v>45495</v>
      </c>
      <c r="B3" s="2"/>
      <c r="C3" s="2">
        <v>15403</v>
      </c>
      <c r="D3" s="2">
        <v>7733</v>
      </c>
      <c r="E3" s="2">
        <v>9082</v>
      </c>
      <c r="F3" s="2">
        <v>32218</v>
      </c>
    </row>
    <row r="4" spans="1:11" ht="15" thickBot="1" x14ac:dyDescent="0.35">
      <c r="A4" s="3">
        <v>45586</v>
      </c>
      <c r="B4" s="2">
        <v>23973</v>
      </c>
      <c r="C4" s="2"/>
      <c r="D4" s="2"/>
      <c r="E4" s="2">
        <v>6918</v>
      </c>
      <c r="F4" s="2">
        <v>30891</v>
      </c>
    </row>
    <row r="5" spans="1:11" ht="15" thickBot="1" x14ac:dyDescent="0.35">
      <c r="A5" s="3">
        <v>45712</v>
      </c>
      <c r="B5" s="2">
        <v>15087</v>
      </c>
      <c r="C5" s="2"/>
      <c r="D5" s="2"/>
      <c r="E5" s="2">
        <v>15359</v>
      </c>
      <c r="F5" s="2">
        <v>30446</v>
      </c>
    </row>
    <row r="6" spans="1:11" ht="15" thickBot="1" x14ac:dyDescent="0.35">
      <c r="A6" s="3">
        <v>45621</v>
      </c>
      <c r="B6" s="2">
        <v>14537</v>
      </c>
      <c r="C6" s="2">
        <v>8945</v>
      </c>
      <c r="D6" s="2"/>
      <c r="E6" s="2">
        <v>5143</v>
      </c>
      <c r="F6" s="2">
        <v>28625</v>
      </c>
    </row>
    <row r="7" spans="1:11" ht="15" thickBot="1" x14ac:dyDescent="0.35">
      <c r="A7" s="3">
        <v>45467</v>
      </c>
      <c r="B7" s="2">
        <v>4885</v>
      </c>
      <c r="C7" s="2"/>
      <c r="D7" s="2">
        <v>15084</v>
      </c>
      <c r="E7" s="2">
        <v>8653</v>
      </c>
      <c r="F7" s="2">
        <v>28622</v>
      </c>
    </row>
    <row r="8" spans="1:11" ht="15" thickBot="1" x14ac:dyDescent="0.35">
      <c r="A8" s="3">
        <v>45691</v>
      </c>
      <c r="B8" s="2"/>
      <c r="C8" s="2"/>
      <c r="D8" s="2">
        <v>16086</v>
      </c>
      <c r="E8" s="2">
        <v>12447</v>
      </c>
      <c r="F8" s="2">
        <v>28533</v>
      </c>
    </row>
    <row r="9" spans="1:11" ht="15" thickBot="1" x14ac:dyDescent="0.35">
      <c r="A9" s="3">
        <v>45733</v>
      </c>
      <c r="B9" s="2">
        <v>8292</v>
      </c>
      <c r="C9" s="2">
        <v>19728</v>
      </c>
      <c r="D9" s="2"/>
      <c r="E9" s="2"/>
      <c r="F9" s="2">
        <v>28020</v>
      </c>
    </row>
    <row r="10" spans="1:11" ht="15" thickBot="1" x14ac:dyDescent="0.35">
      <c r="A10" s="3">
        <v>45677</v>
      </c>
      <c r="B10" s="2"/>
      <c r="C10" s="2"/>
      <c r="D10" s="2">
        <v>20155</v>
      </c>
      <c r="E10" s="2">
        <v>7654</v>
      </c>
      <c r="F10" s="2">
        <v>27809</v>
      </c>
    </row>
    <row r="11" spans="1:11" ht="15" thickBot="1" x14ac:dyDescent="0.35">
      <c r="A11" s="3">
        <v>45593</v>
      </c>
      <c r="B11" s="2"/>
      <c r="C11" s="2">
        <v>14812</v>
      </c>
      <c r="D11" s="2"/>
      <c r="E11" s="2">
        <v>12442</v>
      </c>
      <c r="F11" s="2">
        <v>27254</v>
      </c>
    </row>
    <row r="12" spans="1:11" ht="15" thickBot="1" x14ac:dyDescent="0.35">
      <c r="A12" s="3">
        <v>45446</v>
      </c>
      <c r="B12" s="2">
        <v>3777</v>
      </c>
      <c r="C12" s="2"/>
      <c r="D12" s="2">
        <v>7432</v>
      </c>
      <c r="E12" s="2">
        <v>15994</v>
      </c>
      <c r="F12" s="2">
        <v>27203</v>
      </c>
    </row>
    <row r="13" spans="1:11" ht="15" thickBot="1" x14ac:dyDescent="0.35">
      <c r="A13" s="3">
        <v>45663</v>
      </c>
      <c r="B13" s="2"/>
      <c r="C13" s="2">
        <v>9254</v>
      </c>
      <c r="D13" s="2">
        <v>9202</v>
      </c>
      <c r="E13" s="2">
        <v>8601</v>
      </c>
      <c r="F13" s="2">
        <v>27057</v>
      </c>
    </row>
    <row r="14" spans="1:11" ht="15" thickBot="1" x14ac:dyDescent="0.35">
      <c r="A14" s="3">
        <v>45516</v>
      </c>
      <c r="B14" s="2">
        <v>6853</v>
      </c>
      <c r="C14" s="2"/>
      <c r="D14" s="2">
        <v>12800</v>
      </c>
      <c r="E14" s="2">
        <v>7033</v>
      </c>
      <c r="F14" s="2">
        <v>26686</v>
      </c>
    </row>
    <row r="15" spans="1:11" ht="15" thickBot="1" x14ac:dyDescent="0.35">
      <c r="A15" s="3">
        <v>45460</v>
      </c>
      <c r="B15" s="2">
        <v>13130</v>
      </c>
      <c r="C15" s="2">
        <v>6728</v>
      </c>
      <c r="D15" s="2">
        <v>6073</v>
      </c>
      <c r="E15" s="2"/>
      <c r="F15" s="2">
        <v>25931</v>
      </c>
    </row>
    <row r="16" spans="1:11" ht="15" thickBot="1" x14ac:dyDescent="0.35">
      <c r="A16" s="3">
        <v>45740</v>
      </c>
      <c r="B16" s="2"/>
      <c r="C16" s="2">
        <v>21227</v>
      </c>
      <c r="D16" s="2"/>
      <c r="E16" s="2">
        <v>4189</v>
      </c>
      <c r="F16" s="2">
        <v>25416</v>
      </c>
    </row>
    <row r="17" spans="1:6" ht="15" thickBot="1" x14ac:dyDescent="0.35">
      <c r="A17" s="3">
        <v>45544</v>
      </c>
      <c r="B17" s="2">
        <v>7442</v>
      </c>
      <c r="C17" s="2">
        <v>6121</v>
      </c>
      <c r="D17" s="2"/>
      <c r="E17" s="2">
        <v>11613</v>
      </c>
      <c r="F17" s="2">
        <v>25176</v>
      </c>
    </row>
    <row r="18" spans="1:6" ht="15" thickBot="1" x14ac:dyDescent="0.35">
      <c r="A18" s="3">
        <v>45761</v>
      </c>
      <c r="B18" s="2"/>
      <c r="C18" s="2">
        <v>24995</v>
      </c>
      <c r="D18" s="2"/>
      <c r="E18" s="2"/>
      <c r="F18" s="2">
        <v>24995</v>
      </c>
    </row>
    <row r="19" spans="1:6" ht="15" thickBot="1" x14ac:dyDescent="0.35">
      <c r="A19" s="3">
        <v>45656</v>
      </c>
      <c r="B19" s="2">
        <v>4214</v>
      </c>
      <c r="C19" s="2">
        <v>16577</v>
      </c>
      <c r="D19" s="2">
        <v>3079</v>
      </c>
      <c r="E19" s="2"/>
      <c r="F19" s="2">
        <v>23870</v>
      </c>
    </row>
    <row r="20" spans="1:6" ht="15" thickBot="1" x14ac:dyDescent="0.35">
      <c r="A20" s="3">
        <v>45579</v>
      </c>
      <c r="B20" s="2"/>
      <c r="C20" s="2"/>
      <c r="D20" s="2">
        <v>16256</v>
      </c>
      <c r="E20" s="2">
        <v>7115</v>
      </c>
      <c r="F20" s="2">
        <v>23371</v>
      </c>
    </row>
    <row r="21" spans="1:6" ht="15" thickBot="1" x14ac:dyDescent="0.35">
      <c r="A21" s="3">
        <v>45523</v>
      </c>
      <c r="B21" s="2">
        <v>13835</v>
      </c>
      <c r="C21" s="2"/>
      <c r="D21" s="2"/>
      <c r="E21" s="2">
        <v>9427</v>
      </c>
      <c r="F21" s="2">
        <v>23262</v>
      </c>
    </row>
    <row r="22" spans="1:6" ht="15" thickBot="1" x14ac:dyDescent="0.35">
      <c r="A22" s="3">
        <v>45453</v>
      </c>
      <c r="B22" s="2">
        <v>7215</v>
      </c>
      <c r="C22" s="2"/>
      <c r="D22" s="2">
        <v>8369</v>
      </c>
      <c r="E22" s="2">
        <v>7478</v>
      </c>
      <c r="F22" s="2">
        <v>23062</v>
      </c>
    </row>
    <row r="23" spans="1:6" ht="15" thickBot="1" x14ac:dyDescent="0.35">
      <c r="A23" s="3">
        <v>45684</v>
      </c>
      <c r="B23" s="2">
        <v>3643</v>
      </c>
      <c r="C23" s="2">
        <v>7260</v>
      </c>
      <c r="D23" s="2">
        <v>11789</v>
      </c>
      <c r="E23" s="2"/>
      <c r="F23" s="2">
        <v>22692</v>
      </c>
    </row>
    <row r="24" spans="1:6" ht="15" thickBot="1" x14ac:dyDescent="0.35">
      <c r="A24" s="3">
        <v>45537</v>
      </c>
      <c r="B24" s="2">
        <v>7396</v>
      </c>
      <c r="C24" s="2">
        <v>8228</v>
      </c>
      <c r="D24" s="2">
        <v>6593</v>
      </c>
      <c r="E24" s="2"/>
      <c r="F24" s="2">
        <v>22217</v>
      </c>
    </row>
    <row r="25" spans="1:6" ht="15" thickBot="1" x14ac:dyDescent="0.35">
      <c r="A25" s="3">
        <v>45768</v>
      </c>
      <c r="B25" s="2">
        <v>15012</v>
      </c>
      <c r="C25" s="2"/>
      <c r="D25" s="2">
        <v>7058</v>
      </c>
      <c r="E25" s="2"/>
      <c r="F25" s="2">
        <v>22070</v>
      </c>
    </row>
    <row r="26" spans="1:6" ht="15" thickBot="1" x14ac:dyDescent="0.35">
      <c r="A26" s="3">
        <v>45614</v>
      </c>
      <c r="B26" s="2">
        <v>5206</v>
      </c>
      <c r="C26" s="2">
        <v>9648</v>
      </c>
      <c r="D26" s="2">
        <v>6384</v>
      </c>
      <c r="E26" s="2"/>
      <c r="F26" s="2">
        <v>21238</v>
      </c>
    </row>
    <row r="27" spans="1:6" ht="15" thickBot="1" x14ac:dyDescent="0.35">
      <c r="A27" s="3">
        <v>45530</v>
      </c>
      <c r="B27" s="2">
        <v>8231</v>
      </c>
      <c r="C27" s="2">
        <v>1513</v>
      </c>
      <c r="D27" s="2">
        <v>5753</v>
      </c>
      <c r="E27" s="2">
        <v>5303</v>
      </c>
      <c r="F27" s="2">
        <v>20800</v>
      </c>
    </row>
    <row r="28" spans="1:6" ht="15" thickBot="1" x14ac:dyDescent="0.35">
      <c r="A28" s="3">
        <v>45754</v>
      </c>
      <c r="B28" s="2">
        <v>1425</v>
      </c>
      <c r="C28" s="2">
        <v>4542</v>
      </c>
      <c r="D28" s="2">
        <v>8319</v>
      </c>
      <c r="E28" s="2">
        <v>6434</v>
      </c>
      <c r="F28" s="2">
        <v>20720</v>
      </c>
    </row>
    <row r="29" spans="1:6" ht="15" thickBot="1" x14ac:dyDescent="0.35">
      <c r="A29" s="3">
        <v>45719</v>
      </c>
      <c r="B29" s="2"/>
      <c r="C29" s="2">
        <v>7432</v>
      </c>
      <c r="D29" s="2">
        <v>6326</v>
      </c>
      <c r="E29" s="2">
        <v>6631</v>
      </c>
      <c r="F29" s="2">
        <v>20389</v>
      </c>
    </row>
    <row r="30" spans="1:6" ht="15" thickBot="1" x14ac:dyDescent="0.35">
      <c r="A30" s="3">
        <v>45474</v>
      </c>
      <c r="B30" s="2">
        <v>5928</v>
      </c>
      <c r="C30" s="2">
        <v>5442</v>
      </c>
      <c r="D30" s="2">
        <v>8463</v>
      </c>
      <c r="E30" s="2"/>
      <c r="F30" s="2">
        <v>19833</v>
      </c>
    </row>
    <row r="31" spans="1:6" ht="15" thickBot="1" x14ac:dyDescent="0.35">
      <c r="A31" s="3">
        <v>45607</v>
      </c>
      <c r="B31" s="2"/>
      <c r="C31" s="2">
        <v>4882</v>
      </c>
      <c r="D31" s="2">
        <v>9649</v>
      </c>
      <c r="E31" s="2">
        <v>5220</v>
      </c>
      <c r="F31" s="2">
        <v>19751</v>
      </c>
    </row>
    <row r="32" spans="1:6" ht="15" thickBot="1" x14ac:dyDescent="0.35">
      <c r="A32" s="3">
        <v>45642</v>
      </c>
      <c r="B32" s="2">
        <v>4802</v>
      </c>
      <c r="C32" s="2">
        <v>8527</v>
      </c>
      <c r="D32" s="2">
        <v>6275</v>
      </c>
      <c r="E32" s="2"/>
      <c r="F32" s="2">
        <v>19604</v>
      </c>
    </row>
    <row r="33" spans="1:6" ht="15" thickBot="1" x14ac:dyDescent="0.35">
      <c r="A33" s="3">
        <v>45649</v>
      </c>
      <c r="B33" s="2">
        <v>4314</v>
      </c>
      <c r="C33" s="2">
        <v>7541</v>
      </c>
      <c r="D33" s="2"/>
      <c r="E33" s="2">
        <v>7328</v>
      </c>
      <c r="F33" s="2">
        <v>19183</v>
      </c>
    </row>
    <row r="34" spans="1:6" ht="15" thickBot="1" x14ac:dyDescent="0.35">
      <c r="A34" s="3">
        <v>45670</v>
      </c>
      <c r="B34" s="2">
        <v>2919</v>
      </c>
      <c r="C34" s="2">
        <v>7471</v>
      </c>
      <c r="D34" s="2">
        <v>7346</v>
      </c>
      <c r="E34" s="2">
        <v>1001</v>
      </c>
      <c r="F34" s="2">
        <v>18737</v>
      </c>
    </row>
    <row r="35" spans="1:6" ht="15" thickBot="1" x14ac:dyDescent="0.35">
      <c r="A35" s="3">
        <v>45481</v>
      </c>
      <c r="B35" s="2"/>
      <c r="C35" s="2">
        <v>11378</v>
      </c>
      <c r="D35" s="2">
        <v>7151</v>
      </c>
      <c r="E35" s="2"/>
      <c r="F35" s="2">
        <v>18529</v>
      </c>
    </row>
    <row r="36" spans="1:6" ht="15" thickBot="1" x14ac:dyDescent="0.35">
      <c r="A36" s="3">
        <v>45565</v>
      </c>
      <c r="B36" s="2">
        <v>9904</v>
      </c>
      <c r="C36" s="2"/>
      <c r="D36" s="2">
        <v>8530</v>
      </c>
      <c r="E36" s="2"/>
      <c r="F36" s="2">
        <v>18434</v>
      </c>
    </row>
    <row r="37" spans="1:6" ht="15" thickBot="1" x14ac:dyDescent="0.35">
      <c r="A37" s="3">
        <v>45789</v>
      </c>
      <c r="B37" s="2">
        <v>2805</v>
      </c>
      <c r="C37" s="2">
        <v>8146</v>
      </c>
      <c r="D37" s="2">
        <v>7436</v>
      </c>
      <c r="E37" s="2"/>
      <c r="F37" s="2">
        <v>18387</v>
      </c>
    </row>
    <row r="38" spans="1:6" ht="15" thickBot="1" x14ac:dyDescent="0.35">
      <c r="A38" s="3">
        <v>45628</v>
      </c>
      <c r="B38" s="2">
        <v>8999</v>
      </c>
      <c r="C38" s="2">
        <v>5402</v>
      </c>
      <c r="D38" s="2"/>
      <c r="E38" s="2">
        <v>3929</v>
      </c>
      <c r="F38" s="2">
        <v>18330</v>
      </c>
    </row>
    <row r="39" spans="1:6" ht="15" thickBot="1" x14ac:dyDescent="0.35">
      <c r="A39" s="3">
        <v>45558</v>
      </c>
      <c r="B39" s="2">
        <v>13040</v>
      </c>
      <c r="C39" s="2"/>
      <c r="D39" s="2">
        <v>4942</v>
      </c>
      <c r="E39" s="2"/>
      <c r="F39" s="2">
        <v>17982</v>
      </c>
    </row>
    <row r="40" spans="1:6" ht="15" thickBot="1" x14ac:dyDescent="0.35">
      <c r="A40" s="3">
        <v>45705</v>
      </c>
      <c r="B40" s="2">
        <v>11468</v>
      </c>
      <c r="C40" s="2">
        <v>5101</v>
      </c>
      <c r="D40" s="2">
        <v>1290</v>
      </c>
      <c r="E40" s="2"/>
      <c r="F40" s="2">
        <v>17859</v>
      </c>
    </row>
    <row r="41" spans="1:6" ht="15" thickBot="1" x14ac:dyDescent="0.35">
      <c r="A41" s="3">
        <v>45726</v>
      </c>
      <c r="B41" s="2">
        <v>2994</v>
      </c>
      <c r="C41" s="2">
        <v>2535</v>
      </c>
      <c r="D41" s="2">
        <v>8723</v>
      </c>
      <c r="E41" s="2">
        <v>3555</v>
      </c>
      <c r="F41" s="2">
        <v>17807</v>
      </c>
    </row>
    <row r="42" spans="1:6" ht="15" thickBot="1" x14ac:dyDescent="0.35">
      <c r="A42" s="3">
        <v>45572</v>
      </c>
      <c r="B42" s="2">
        <v>4808</v>
      </c>
      <c r="C42" s="2">
        <v>2421</v>
      </c>
      <c r="D42" s="2"/>
      <c r="E42" s="2">
        <v>10348</v>
      </c>
      <c r="F42" s="2">
        <v>17577</v>
      </c>
    </row>
    <row r="43" spans="1:6" ht="15" thickBot="1" x14ac:dyDescent="0.35">
      <c r="A43" s="3">
        <v>45775</v>
      </c>
      <c r="B43" s="2"/>
      <c r="C43" s="2">
        <v>1512</v>
      </c>
      <c r="D43" s="2">
        <v>15937</v>
      </c>
      <c r="E43" s="2"/>
      <c r="F43" s="2">
        <v>17449</v>
      </c>
    </row>
    <row r="44" spans="1:6" ht="15" thickBot="1" x14ac:dyDescent="0.35">
      <c r="A44" s="3">
        <v>45502</v>
      </c>
      <c r="B44" s="2"/>
      <c r="C44" s="2">
        <v>7537</v>
      </c>
      <c r="D44" s="2">
        <v>6039</v>
      </c>
      <c r="E44" s="2">
        <v>3445</v>
      </c>
      <c r="F44" s="2">
        <v>17021</v>
      </c>
    </row>
    <row r="45" spans="1:6" ht="15" thickBot="1" x14ac:dyDescent="0.35">
      <c r="A45" s="3">
        <v>45600</v>
      </c>
      <c r="B45" s="2"/>
      <c r="C45" s="2">
        <v>4942</v>
      </c>
      <c r="D45" s="2">
        <v>8687</v>
      </c>
      <c r="E45" s="2">
        <v>3056</v>
      </c>
      <c r="F45" s="2">
        <v>16685</v>
      </c>
    </row>
    <row r="46" spans="1:6" ht="15" thickBot="1" x14ac:dyDescent="0.35">
      <c r="A46" s="3">
        <v>45782</v>
      </c>
      <c r="B46" s="2">
        <v>7959</v>
      </c>
      <c r="C46" s="2">
        <v>2960</v>
      </c>
      <c r="D46" s="2"/>
      <c r="E46" s="2">
        <v>5210</v>
      </c>
      <c r="F46" s="2">
        <v>16129</v>
      </c>
    </row>
    <row r="47" spans="1:6" ht="15" thickBot="1" x14ac:dyDescent="0.35">
      <c r="A47" s="3">
        <v>45635</v>
      </c>
      <c r="B47" s="2">
        <v>3461</v>
      </c>
      <c r="C47" s="2">
        <v>949</v>
      </c>
      <c r="D47" s="2">
        <v>6642</v>
      </c>
      <c r="E47" s="2">
        <v>4790</v>
      </c>
      <c r="F47" s="2">
        <v>15842</v>
      </c>
    </row>
    <row r="48" spans="1:6" ht="15" thickBot="1" x14ac:dyDescent="0.35">
      <c r="A48" s="3">
        <v>45747</v>
      </c>
      <c r="B48" s="2">
        <v>6128</v>
      </c>
      <c r="C48" s="2">
        <v>1660</v>
      </c>
      <c r="D48" s="2">
        <v>6272</v>
      </c>
      <c r="E48" s="2">
        <v>1567</v>
      </c>
      <c r="F48" s="2">
        <v>15627</v>
      </c>
    </row>
    <row r="49" spans="1:6" ht="15" thickBot="1" x14ac:dyDescent="0.35">
      <c r="A49" s="3">
        <v>45551</v>
      </c>
      <c r="B49" s="2"/>
      <c r="C49" s="2">
        <v>2199</v>
      </c>
      <c r="D49" s="2">
        <v>3925</v>
      </c>
      <c r="E49" s="2">
        <v>9308</v>
      </c>
      <c r="F49" s="2">
        <v>15432</v>
      </c>
    </row>
    <row r="50" spans="1:6" ht="15" thickBot="1" x14ac:dyDescent="0.35">
      <c r="A50" s="3">
        <v>45509</v>
      </c>
      <c r="B50" s="2">
        <v>3213</v>
      </c>
      <c r="C50" s="2">
        <v>4847</v>
      </c>
      <c r="D50" s="2">
        <v>3497</v>
      </c>
      <c r="E50" s="2">
        <v>2543</v>
      </c>
      <c r="F50" s="2">
        <v>14100</v>
      </c>
    </row>
    <row r="51" spans="1:6" ht="15" thickBot="1" x14ac:dyDescent="0.35">
      <c r="A51" s="3">
        <v>45488</v>
      </c>
      <c r="B51" s="2">
        <v>4967</v>
      </c>
      <c r="C51" s="2"/>
      <c r="D51" s="2">
        <v>7092</v>
      </c>
      <c r="E51" s="2">
        <v>1826</v>
      </c>
      <c r="F51" s="2">
        <v>13885</v>
      </c>
    </row>
    <row r="52" spans="1:6" ht="15" thickBot="1" x14ac:dyDescent="0.35">
      <c r="A52" s="3">
        <v>45698</v>
      </c>
      <c r="B52" s="2"/>
      <c r="C52" s="2">
        <v>12622</v>
      </c>
      <c r="D52" s="2">
        <v>1020</v>
      </c>
      <c r="E52" s="2"/>
      <c r="F52" s="2">
        <v>13642</v>
      </c>
    </row>
    <row r="53" spans="1:6" ht="15" thickBot="1" x14ac:dyDescent="0.35">
      <c r="A53" s="2" t="s">
        <v>5</v>
      </c>
      <c r="B53" s="2">
        <v>261862</v>
      </c>
      <c r="C53" s="2">
        <v>290487</v>
      </c>
      <c r="D53" s="2">
        <v>303407</v>
      </c>
      <c r="E53" s="2">
        <v>230642</v>
      </c>
      <c r="F53" s="2">
        <v>1086398</v>
      </c>
    </row>
    <row r="55" spans="1:6" ht="15" thickBot="1" x14ac:dyDescent="0.35"/>
    <row r="56" spans="1:6" ht="15" thickBot="1" x14ac:dyDescent="0.35"/>
    <row r="57" spans="1:6" ht="15" thickBot="1" x14ac:dyDescent="0.35"/>
    <row r="58" spans="1:6" ht="15" thickBot="1" x14ac:dyDescent="0.35"/>
    <row r="59" spans="1:6" ht="15" thickBot="1" x14ac:dyDescent="0.35"/>
    <row r="60" spans="1:6" ht="15" thickBot="1" x14ac:dyDescent="0.35"/>
    <row r="61" spans="1:6" ht="15" thickBot="1" x14ac:dyDescent="0.35"/>
    <row r="62" spans="1:6" ht="15" thickBot="1" x14ac:dyDescent="0.35"/>
    <row r="63" spans="1:6" ht="15" thickBot="1" x14ac:dyDescent="0.35"/>
    <row r="64" spans="1:6" ht="15" thickBot="1" x14ac:dyDescent="0.35"/>
    <row r="65" ht="15" thickBot="1" x14ac:dyDescent="0.35"/>
    <row r="66" ht="15" thickBot="1" x14ac:dyDescent="0.35"/>
    <row r="67" ht="15" thickBot="1" x14ac:dyDescent="0.35"/>
    <row r="68" ht="15" thickBot="1" x14ac:dyDescent="0.35"/>
    <row r="69" ht="15" thickBot="1" x14ac:dyDescent="0.35"/>
    <row r="70" ht="15" thickBot="1" x14ac:dyDescent="0.35"/>
    <row r="71" ht="15" thickBot="1" x14ac:dyDescent="0.35"/>
    <row r="72" ht="15" thickBot="1" x14ac:dyDescent="0.35"/>
    <row r="73" ht="15" thickBot="1" x14ac:dyDescent="0.35"/>
    <row r="74" ht="15" thickBot="1" x14ac:dyDescent="0.35"/>
    <row r="75" ht="15" thickBot="1" x14ac:dyDescent="0.35"/>
    <row r="76" ht="15" thickBot="1" x14ac:dyDescent="0.35"/>
    <row r="77" ht="15" thickBot="1" x14ac:dyDescent="0.35"/>
    <row r="78" ht="15" thickBot="1" x14ac:dyDescent="0.35"/>
    <row r="79" ht="15" thickBot="1" x14ac:dyDescent="0.35"/>
    <row r="80" ht="15" thickBot="1" x14ac:dyDescent="0.35"/>
    <row r="81" ht="15" thickBot="1" x14ac:dyDescent="0.35"/>
    <row r="82" ht="15" thickBot="1" x14ac:dyDescent="0.35"/>
    <row r="83" ht="15" thickBot="1" x14ac:dyDescent="0.35"/>
    <row r="84" ht="15" thickBot="1" x14ac:dyDescent="0.35"/>
    <row r="85" ht="15" thickBot="1" x14ac:dyDescent="0.35"/>
    <row r="86" ht="15" thickBot="1" x14ac:dyDescent="0.35"/>
    <row r="87" ht="15" thickBot="1" x14ac:dyDescent="0.35"/>
    <row r="88" ht="15" thickBot="1" x14ac:dyDescent="0.35"/>
    <row r="89" ht="15" thickBot="1" x14ac:dyDescent="0.35"/>
    <row r="90" ht="15" thickBot="1" x14ac:dyDescent="0.35"/>
    <row r="91" ht="15" thickBot="1" x14ac:dyDescent="0.35"/>
    <row r="92" ht="15" thickBot="1" x14ac:dyDescent="0.35"/>
    <row r="93" ht="15" thickBot="1" x14ac:dyDescent="0.35"/>
    <row r="94" ht="15" thickBot="1" x14ac:dyDescent="0.35"/>
    <row r="95" ht="15" thickBot="1" x14ac:dyDescent="0.35"/>
    <row r="96" ht="15" thickBot="1" x14ac:dyDescent="0.35"/>
    <row r="97" ht="15" thickBot="1" x14ac:dyDescent="0.35"/>
    <row r="98" ht="15" thickBot="1" x14ac:dyDescent="0.35"/>
    <row r="99" ht="15" thickBot="1" x14ac:dyDescent="0.35"/>
    <row r="100" ht="15" thickBot="1" x14ac:dyDescent="0.35"/>
    <row r="101" ht="15" thickBot="1" x14ac:dyDescent="0.35"/>
    <row r="102" ht="15" thickBot="1" x14ac:dyDescent="0.35"/>
    <row r="103" ht="15" thickBot="1" x14ac:dyDescent="0.35"/>
    <row r="104" ht="15" thickBot="1" x14ac:dyDescent="0.35"/>
    <row r="105" ht="15" thickBot="1" x14ac:dyDescent="0.35"/>
    <row r="106" ht="15" thickBot="1" x14ac:dyDescent="0.35"/>
    <row r="107" ht="15" thickBot="1" x14ac:dyDescent="0.35"/>
    <row r="108" ht="15" thickBot="1" x14ac:dyDescent="0.35"/>
    <row r="109" ht="15" thickBot="1" x14ac:dyDescent="0.35"/>
    <row r="110" ht="15" thickBot="1" x14ac:dyDescent="0.35"/>
    <row r="111" ht="15" thickBot="1" x14ac:dyDescent="0.35"/>
    <row r="112" ht="15" thickBot="1" x14ac:dyDescent="0.35"/>
    <row r="113" ht="15" thickBot="1" x14ac:dyDescent="0.35"/>
    <row r="114" ht="15" thickBot="1" x14ac:dyDescent="0.35"/>
    <row r="115" ht="15" thickBot="1" x14ac:dyDescent="0.35"/>
    <row r="116" ht="15" thickBot="1" x14ac:dyDescent="0.35"/>
    <row r="117" ht="15" thickBot="1" x14ac:dyDescent="0.35"/>
    <row r="118" ht="15" thickBot="1" x14ac:dyDescent="0.35"/>
    <row r="119" ht="15" thickBot="1" x14ac:dyDescent="0.35"/>
    <row r="120" ht="15" thickBot="1" x14ac:dyDescent="0.35"/>
    <row r="121" ht="15" thickBot="1" x14ac:dyDescent="0.35"/>
    <row r="122" ht="15" thickBot="1" x14ac:dyDescent="0.35"/>
    <row r="123" ht="15" thickBot="1" x14ac:dyDescent="0.35"/>
    <row r="124" ht="15" thickBot="1" x14ac:dyDescent="0.35"/>
    <row r="125" ht="15" thickBot="1" x14ac:dyDescent="0.35"/>
    <row r="126" ht="15" thickBot="1" x14ac:dyDescent="0.35"/>
    <row r="127" ht="15" thickBot="1" x14ac:dyDescent="0.35"/>
    <row r="128" ht="15" thickBot="1" x14ac:dyDescent="0.35"/>
    <row r="129" ht="15" thickBot="1" x14ac:dyDescent="0.35"/>
    <row r="130" ht="15" thickBot="1" x14ac:dyDescent="0.35"/>
    <row r="131" ht="15" thickBot="1" x14ac:dyDescent="0.35"/>
    <row r="132" ht="15" thickBot="1" x14ac:dyDescent="0.35"/>
    <row r="133" ht="15" thickBot="1" x14ac:dyDescent="0.35"/>
    <row r="134" ht="15" thickBot="1" x14ac:dyDescent="0.35"/>
    <row r="135" ht="15" thickBot="1" x14ac:dyDescent="0.35"/>
    <row r="136" ht="15" thickBot="1" x14ac:dyDescent="0.35"/>
    <row r="137" ht="15" thickBot="1" x14ac:dyDescent="0.35"/>
    <row r="138" ht="15" thickBot="1" x14ac:dyDescent="0.35"/>
    <row r="139" ht="15" thickBot="1" x14ac:dyDescent="0.35"/>
    <row r="140" ht="15" thickBot="1" x14ac:dyDescent="0.35"/>
    <row r="141" ht="15" thickBot="1" x14ac:dyDescent="0.35"/>
    <row r="142" ht="15" thickBot="1" x14ac:dyDescent="0.35"/>
    <row r="143" ht="15" thickBot="1" x14ac:dyDescent="0.35"/>
    <row r="144" ht="15" thickBot="1" x14ac:dyDescent="0.35"/>
    <row r="145" ht="15" thickBot="1" x14ac:dyDescent="0.35"/>
    <row r="146" ht="15" thickBot="1" x14ac:dyDescent="0.35"/>
    <row r="148" ht="15" thickBot="1" x14ac:dyDescent="0.35"/>
    <row r="149" ht="15" thickBot="1" x14ac:dyDescent="0.35"/>
    <row r="150" ht="15" thickBot="1" x14ac:dyDescent="0.35"/>
    <row r="151" ht="15" thickBot="1" x14ac:dyDescent="0.35"/>
    <row r="152" ht="15" thickBot="1" x14ac:dyDescent="0.35"/>
    <row r="153" ht="15" thickBot="1" x14ac:dyDescent="0.35"/>
    <row r="154" ht="15" thickBot="1" x14ac:dyDescent="0.35"/>
    <row r="155" ht="15" thickBot="1" x14ac:dyDescent="0.35"/>
    <row r="156" ht="15" thickBot="1" x14ac:dyDescent="0.35"/>
    <row r="157" ht="15" thickBot="1" x14ac:dyDescent="0.35"/>
    <row r="158" ht="15" thickBot="1" x14ac:dyDescent="0.35"/>
    <row r="159" ht="15" thickBot="1" x14ac:dyDescent="0.35"/>
    <row r="160" ht="15" thickBot="1" x14ac:dyDescent="0.35"/>
    <row r="161" ht="15" thickBot="1" x14ac:dyDescent="0.35"/>
    <row r="162" ht="15" thickBot="1" x14ac:dyDescent="0.35"/>
    <row r="163" ht="15" thickBot="1" x14ac:dyDescent="0.35"/>
    <row r="164" ht="15" thickBot="1" x14ac:dyDescent="0.35"/>
    <row r="165" ht="15" thickBot="1" x14ac:dyDescent="0.35"/>
    <row r="166" ht="15" thickBot="1" x14ac:dyDescent="0.35"/>
    <row r="167" ht="15" thickBot="1" x14ac:dyDescent="0.35"/>
    <row r="168" ht="15" thickBot="1" x14ac:dyDescent="0.35"/>
    <row r="169" ht="15" thickBot="1" x14ac:dyDescent="0.35"/>
    <row r="170" ht="15" thickBot="1" x14ac:dyDescent="0.35"/>
    <row r="171" ht="15" thickBot="1" x14ac:dyDescent="0.35"/>
    <row r="172" ht="15" thickBot="1" x14ac:dyDescent="0.35"/>
    <row r="173" ht="15" thickBot="1" x14ac:dyDescent="0.35"/>
    <row r="174" ht="15" thickBot="1" x14ac:dyDescent="0.35"/>
    <row r="175" ht="15" thickBot="1" x14ac:dyDescent="0.35"/>
    <row r="176" ht="15" thickBot="1" x14ac:dyDescent="0.35"/>
    <row r="177" ht="15" thickBot="1" x14ac:dyDescent="0.35"/>
    <row r="178" ht="15" thickBot="1" x14ac:dyDescent="0.35"/>
    <row r="179" ht="15" thickBot="1" x14ac:dyDescent="0.35"/>
    <row r="180" ht="15" thickBot="1" x14ac:dyDescent="0.35"/>
    <row r="181" ht="15" thickBot="1" x14ac:dyDescent="0.35"/>
    <row r="182" ht="15" thickBot="1" x14ac:dyDescent="0.35"/>
    <row r="183" ht="15" thickBot="1" x14ac:dyDescent="0.35"/>
    <row r="184" ht="15" thickBot="1" x14ac:dyDescent="0.35"/>
    <row r="185" ht="15" thickBot="1" x14ac:dyDescent="0.35"/>
    <row r="186" ht="15" thickBot="1" x14ac:dyDescent="0.35"/>
    <row r="187" ht="15" thickBot="1" x14ac:dyDescent="0.35"/>
    <row r="188" ht="15" thickBot="1" x14ac:dyDescent="0.35"/>
    <row r="189" ht="15" thickBot="1" x14ac:dyDescent="0.35"/>
    <row r="190" ht="15" thickBot="1" x14ac:dyDescent="0.35"/>
    <row r="191" ht="15" thickBot="1" x14ac:dyDescent="0.35"/>
    <row r="192" ht="15" thickBot="1" x14ac:dyDescent="0.35"/>
  </sheetData>
  <conditionalFormatting pivot="1" sqref="B3:F52">
    <cfRule type="top10" dxfId="155" priority="1" rank="1"/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9587-98D0-419D-B08D-5EB37BA662D4}">
  <dimension ref="A1:L53"/>
  <sheetViews>
    <sheetView workbookViewId="0">
      <selection activeCell="I24" sqref="I24"/>
    </sheetView>
  </sheetViews>
  <sheetFormatPr defaultRowHeight="14.4" x14ac:dyDescent="0.3"/>
  <cols>
    <col min="1" max="1" width="20.5546875" bestFit="1" customWidth="1"/>
    <col min="2" max="2" width="12.77734375" bestFit="1" customWidth="1"/>
    <col min="3" max="3" width="7" bestFit="1" customWidth="1"/>
    <col min="4" max="4" width="8.21875" bestFit="1" customWidth="1"/>
    <col min="5" max="5" width="9.44140625" bestFit="1" customWidth="1"/>
    <col min="6" max="6" width="10.77734375" bestFit="1" customWidth="1"/>
    <col min="7" max="51" width="10.33203125" bestFit="1" customWidth="1"/>
    <col min="52" max="52" width="10.5546875" bestFit="1" customWidth="1"/>
    <col min="53" max="53" width="9.6640625" bestFit="1" customWidth="1"/>
    <col min="54" max="54" width="10.77734375" bestFit="1" customWidth="1"/>
    <col min="55" max="55" width="14.5546875" bestFit="1" customWidth="1"/>
    <col min="56" max="56" width="11.77734375" bestFit="1" customWidth="1"/>
    <col min="57" max="57" width="14.5546875" bestFit="1" customWidth="1"/>
    <col min="58" max="58" width="12.77734375" bestFit="1" customWidth="1"/>
    <col min="59" max="59" width="15.5546875" bestFit="1" customWidth="1"/>
    <col min="60" max="60" width="12.77734375" bestFit="1" customWidth="1"/>
    <col min="61" max="61" width="15.5546875" bestFit="1" customWidth="1"/>
    <col min="62" max="62" width="12.77734375" bestFit="1" customWidth="1"/>
    <col min="63" max="63" width="15.5546875" bestFit="1" customWidth="1"/>
    <col min="64" max="64" width="10.77734375" bestFit="1" customWidth="1"/>
    <col min="65" max="65" width="13.5546875" bestFit="1" customWidth="1"/>
    <col min="66" max="66" width="11.77734375" bestFit="1" customWidth="1"/>
    <col min="67" max="67" width="14.5546875" bestFit="1" customWidth="1"/>
    <col min="68" max="68" width="11.77734375" bestFit="1" customWidth="1"/>
    <col min="69" max="69" width="14.5546875" bestFit="1" customWidth="1"/>
    <col min="70" max="70" width="11.77734375" bestFit="1" customWidth="1"/>
    <col min="71" max="71" width="14.5546875" bestFit="1" customWidth="1"/>
    <col min="72" max="72" width="10.77734375" bestFit="1" customWidth="1"/>
    <col min="73" max="73" width="13.5546875" bestFit="1" customWidth="1"/>
    <col min="74" max="74" width="11.77734375" bestFit="1" customWidth="1"/>
    <col min="75" max="75" width="14.5546875" bestFit="1" customWidth="1"/>
    <col min="76" max="76" width="11.77734375" bestFit="1" customWidth="1"/>
    <col min="77" max="77" width="14.5546875" bestFit="1" customWidth="1"/>
    <col min="78" max="78" width="11.77734375" bestFit="1" customWidth="1"/>
    <col min="79" max="79" width="14.5546875" bestFit="1" customWidth="1"/>
    <col min="80" max="80" width="10.77734375" bestFit="1" customWidth="1"/>
    <col min="81" max="81" width="13.5546875" bestFit="1" customWidth="1"/>
    <col min="82" max="82" width="11.77734375" bestFit="1" customWidth="1"/>
    <col min="83" max="83" width="14.5546875" bestFit="1" customWidth="1"/>
    <col min="84" max="84" width="11.77734375" bestFit="1" customWidth="1"/>
    <col min="85" max="85" width="14.5546875" bestFit="1" customWidth="1"/>
    <col min="86" max="86" width="11.77734375" bestFit="1" customWidth="1"/>
    <col min="87" max="87" width="14.5546875" bestFit="1" customWidth="1"/>
    <col min="88" max="88" width="11.77734375" bestFit="1" customWidth="1"/>
    <col min="89" max="89" width="14.5546875" bestFit="1" customWidth="1"/>
    <col min="90" max="90" width="10.77734375" bestFit="1" customWidth="1"/>
    <col min="91" max="91" width="13.5546875" bestFit="1" customWidth="1"/>
    <col min="92" max="92" width="11.77734375" bestFit="1" customWidth="1"/>
    <col min="93" max="93" width="14.5546875" bestFit="1" customWidth="1"/>
    <col min="94" max="94" width="11.77734375" bestFit="1" customWidth="1"/>
    <col min="95" max="95" width="14.5546875" bestFit="1" customWidth="1"/>
    <col min="96" max="96" width="11.77734375" bestFit="1" customWidth="1"/>
    <col min="97" max="97" width="14.5546875" bestFit="1" customWidth="1"/>
    <col min="98" max="98" width="10.77734375" bestFit="1" customWidth="1"/>
    <col min="99" max="99" width="13.5546875" bestFit="1" customWidth="1"/>
    <col min="100" max="100" width="11.77734375" bestFit="1" customWidth="1"/>
    <col min="101" max="101" width="14.5546875" bestFit="1" customWidth="1"/>
    <col min="102" max="102" width="10.77734375" bestFit="1" customWidth="1"/>
  </cols>
  <sheetData>
    <row r="1" spans="1:12" ht="15" thickBot="1" x14ac:dyDescent="0.35">
      <c r="A1" s="6" t="s">
        <v>6</v>
      </c>
      <c r="B1" s="9" t="s">
        <v>0</v>
      </c>
      <c r="C1" s="7"/>
      <c r="D1" s="7"/>
      <c r="E1" s="7"/>
      <c r="F1" s="7"/>
      <c r="H1" s="23" t="s">
        <v>13</v>
      </c>
      <c r="I1" s="23"/>
      <c r="J1" s="23"/>
      <c r="K1" s="23"/>
      <c r="L1" s="23"/>
    </row>
    <row r="2" spans="1:12" ht="15" thickBot="1" x14ac:dyDescent="0.35">
      <c r="A2" s="6" t="s">
        <v>7</v>
      </c>
      <c r="B2" s="8" t="s">
        <v>3</v>
      </c>
      <c r="C2" s="8" t="s">
        <v>2</v>
      </c>
      <c r="D2" s="8" t="s">
        <v>4</v>
      </c>
      <c r="E2" s="8" t="s">
        <v>1</v>
      </c>
      <c r="F2" s="8" t="s">
        <v>5</v>
      </c>
    </row>
    <row r="3" spans="1:12" ht="15" thickBot="1" x14ac:dyDescent="0.35">
      <c r="A3" s="3">
        <v>45446</v>
      </c>
      <c r="B3" s="2">
        <v>15994</v>
      </c>
      <c r="C3" s="2">
        <v>7432</v>
      </c>
      <c r="D3" s="2"/>
      <c r="E3" s="2">
        <v>3777</v>
      </c>
      <c r="F3" s="2">
        <v>27203</v>
      </c>
    </row>
    <row r="4" spans="1:12" ht="15" thickBot="1" x14ac:dyDescent="0.35">
      <c r="A4" s="3">
        <v>45453</v>
      </c>
      <c r="B4" s="2">
        <v>7478</v>
      </c>
      <c r="C4" s="2">
        <v>8369</v>
      </c>
      <c r="D4" s="2"/>
      <c r="E4" s="2">
        <v>7215</v>
      </c>
      <c r="F4" s="2">
        <v>23062</v>
      </c>
    </row>
    <row r="5" spans="1:12" ht="15" thickBot="1" x14ac:dyDescent="0.35">
      <c r="A5" s="3">
        <v>45460</v>
      </c>
      <c r="B5" s="2"/>
      <c r="C5" s="2">
        <v>6073</v>
      </c>
      <c r="D5" s="2">
        <v>6728</v>
      </c>
      <c r="E5" s="2">
        <v>13130</v>
      </c>
      <c r="F5" s="2">
        <v>25931</v>
      </c>
    </row>
    <row r="6" spans="1:12" ht="15" thickBot="1" x14ac:dyDescent="0.35">
      <c r="A6" s="3">
        <v>45467</v>
      </c>
      <c r="B6" s="2">
        <v>8653</v>
      </c>
      <c r="C6" s="2">
        <v>15084</v>
      </c>
      <c r="D6" s="2"/>
      <c r="E6" s="2">
        <v>4885</v>
      </c>
      <c r="F6" s="2">
        <v>28622</v>
      </c>
    </row>
    <row r="7" spans="1:12" ht="15" thickBot="1" x14ac:dyDescent="0.35">
      <c r="A7" s="3">
        <v>45474</v>
      </c>
      <c r="B7" s="2"/>
      <c r="C7" s="2">
        <v>8463</v>
      </c>
      <c r="D7" s="2">
        <v>5442</v>
      </c>
      <c r="E7" s="2">
        <v>5928</v>
      </c>
      <c r="F7" s="2">
        <v>19833</v>
      </c>
    </row>
    <row r="8" spans="1:12" ht="15" thickBot="1" x14ac:dyDescent="0.35">
      <c r="A8" s="3">
        <v>45481</v>
      </c>
      <c r="B8" s="2"/>
      <c r="C8" s="2">
        <v>7151</v>
      </c>
      <c r="D8" s="2">
        <v>11378</v>
      </c>
      <c r="E8" s="2"/>
      <c r="F8" s="2">
        <v>18529</v>
      </c>
    </row>
    <row r="9" spans="1:12" ht="15" thickBot="1" x14ac:dyDescent="0.35">
      <c r="A9" s="3">
        <v>45488</v>
      </c>
      <c r="B9" s="2">
        <v>1826</v>
      </c>
      <c r="C9" s="2">
        <v>7092</v>
      </c>
      <c r="D9" s="2"/>
      <c r="E9" s="2">
        <v>4967</v>
      </c>
      <c r="F9" s="2">
        <v>13885</v>
      </c>
    </row>
    <row r="10" spans="1:12" ht="15" thickBot="1" x14ac:dyDescent="0.35">
      <c r="A10" s="3">
        <v>45495</v>
      </c>
      <c r="B10" s="2">
        <v>9082</v>
      </c>
      <c r="C10" s="2">
        <v>7733</v>
      </c>
      <c r="D10" s="2">
        <v>15403</v>
      </c>
      <c r="E10" s="2"/>
      <c r="F10" s="2">
        <v>32218</v>
      </c>
    </row>
    <row r="11" spans="1:12" ht="15" thickBot="1" x14ac:dyDescent="0.35">
      <c r="A11" s="3">
        <v>45502</v>
      </c>
      <c r="B11" s="2">
        <v>3445</v>
      </c>
      <c r="C11" s="2">
        <v>6039</v>
      </c>
      <c r="D11" s="2">
        <v>7537</v>
      </c>
      <c r="E11" s="2"/>
      <c r="F11" s="2">
        <v>17021</v>
      </c>
    </row>
    <row r="12" spans="1:12" ht="15" thickBot="1" x14ac:dyDescent="0.35">
      <c r="A12" s="3">
        <v>45509</v>
      </c>
      <c r="B12" s="2">
        <v>2543</v>
      </c>
      <c r="C12" s="2">
        <v>3497</v>
      </c>
      <c r="D12" s="2">
        <v>4847</v>
      </c>
      <c r="E12" s="2">
        <v>3213</v>
      </c>
      <c r="F12" s="2">
        <v>14100</v>
      </c>
    </row>
    <row r="13" spans="1:12" ht="15" thickBot="1" x14ac:dyDescent="0.35">
      <c r="A13" s="3">
        <v>45516</v>
      </c>
      <c r="B13" s="2">
        <v>7033</v>
      </c>
      <c r="C13" s="2">
        <v>12800</v>
      </c>
      <c r="D13" s="2"/>
      <c r="E13" s="2">
        <v>6853</v>
      </c>
      <c r="F13" s="2">
        <v>26686</v>
      </c>
    </row>
    <row r="14" spans="1:12" ht="15" thickBot="1" x14ac:dyDescent="0.35">
      <c r="A14" s="3">
        <v>45523</v>
      </c>
      <c r="B14" s="2">
        <v>9427</v>
      </c>
      <c r="C14" s="2"/>
      <c r="D14" s="2"/>
      <c r="E14" s="2">
        <v>13835</v>
      </c>
      <c r="F14" s="2">
        <v>23262</v>
      </c>
    </row>
    <row r="15" spans="1:12" ht="15" thickBot="1" x14ac:dyDescent="0.35">
      <c r="A15" s="3">
        <v>45530</v>
      </c>
      <c r="B15" s="2">
        <v>5303</v>
      </c>
      <c r="C15" s="2">
        <v>5753</v>
      </c>
      <c r="D15" s="2">
        <v>1513</v>
      </c>
      <c r="E15" s="2">
        <v>8231</v>
      </c>
      <c r="F15" s="2">
        <v>20800</v>
      </c>
    </row>
    <row r="16" spans="1:12" ht="15" thickBot="1" x14ac:dyDescent="0.35">
      <c r="A16" s="3">
        <v>45537</v>
      </c>
      <c r="B16" s="2"/>
      <c r="C16" s="2">
        <v>6593</v>
      </c>
      <c r="D16" s="2">
        <v>8228</v>
      </c>
      <c r="E16" s="2">
        <v>7396</v>
      </c>
      <c r="F16" s="2">
        <v>22217</v>
      </c>
    </row>
    <row r="17" spans="1:6" ht="15" thickBot="1" x14ac:dyDescent="0.35">
      <c r="A17" s="3">
        <v>45544</v>
      </c>
      <c r="B17" s="2">
        <v>11613</v>
      </c>
      <c r="C17" s="2"/>
      <c r="D17" s="2">
        <v>6121</v>
      </c>
      <c r="E17" s="2">
        <v>7442</v>
      </c>
      <c r="F17" s="2">
        <v>25176</v>
      </c>
    </row>
    <row r="18" spans="1:6" ht="15" thickBot="1" x14ac:dyDescent="0.35">
      <c r="A18" s="3">
        <v>45551</v>
      </c>
      <c r="B18" s="2">
        <v>9308</v>
      </c>
      <c r="C18" s="2">
        <v>3925</v>
      </c>
      <c r="D18" s="2">
        <v>2199</v>
      </c>
      <c r="E18" s="2"/>
      <c r="F18" s="2">
        <v>15432</v>
      </c>
    </row>
    <row r="19" spans="1:6" ht="15" thickBot="1" x14ac:dyDescent="0.35">
      <c r="A19" s="3">
        <v>45558</v>
      </c>
      <c r="B19" s="2"/>
      <c r="C19" s="2">
        <v>4942</v>
      </c>
      <c r="D19" s="2"/>
      <c r="E19" s="2">
        <v>13040</v>
      </c>
      <c r="F19" s="2">
        <v>17982</v>
      </c>
    </row>
    <row r="20" spans="1:6" ht="15" thickBot="1" x14ac:dyDescent="0.35">
      <c r="A20" s="3">
        <v>45565</v>
      </c>
      <c r="B20" s="2"/>
      <c r="C20" s="2">
        <v>8530</v>
      </c>
      <c r="D20" s="2"/>
      <c r="E20" s="2">
        <v>9904</v>
      </c>
      <c r="F20" s="2">
        <v>18434</v>
      </c>
    </row>
    <row r="21" spans="1:6" ht="15" thickBot="1" x14ac:dyDescent="0.35">
      <c r="A21" s="3">
        <v>45572</v>
      </c>
      <c r="B21" s="2">
        <v>10348</v>
      </c>
      <c r="C21" s="2"/>
      <c r="D21" s="2">
        <v>2421</v>
      </c>
      <c r="E21" s="2">
        <v>4808</v>
      </c>
      <c r="F21" s="2">
        <v>17577</v>
      </c>
    </row>
    <row r="22" spans="1:6" ht="15" thickBot="1" x14ac:dyDescent="0.35">
      <c r="A22" s="3">
        <v>45579</v>
      </c>
      <c r="B22" s="2">
        <v>7115</v>
      </c>
      <c r="C22" s="2">
        <v>16256</v>
      </c>
      <c r="D22" s="2"/>
      <c r="E22" s="2"/>
      <c r="F22" s="2">
        <v>23371</v>
      </c>
    </row>
    <row r="23" spans="1:6" ht="15" thickBot="1" x14ac:dyDescent="0.35">
      <c r="A23" s="3">
        <v>45593</v>
      </c>
      <c r="B23" s="2">
        <v>12442</v>
      </c>
      <c r="C23" s="2"/>
      <c r="D23" s="2">
        <v>14812</v>
      </c>
      <c r="E23" s="2"/>
      <c r="F23" s="2">
        <v>27254</v>
      </c>
    </row>
    <row r="24" spans="1:6" ht="15" thickBot="1" x14ac:dyDescent="0.35">
      <c r="A24" s="3">
        <v>45586</v>
      </c>
      <c r="B24" s="2">
        <v>6918</v>
      </c>
      <c r="C24" s="2"/>
      <c r="D24" s="2"/>
      <c r="E24" s="2">
        <v>23973</v>
      </c>
      <c r="F24" s="2">
        <v>30891</v>
      </c>
    </row>
    <row r="25" spans="1:6" ht="15" thickBot="1" x14ac:dyDescent="0.35">
      <c r="A25" s="3">
        <v>45600</v>
      </c>
      <c r="B25" s="2">
        <v>3056</v>
      </c>
      <c r="C25" s="2">
        <v>8687</v>
      </c>
      <c r="D25" s="2">
        <v>4942</v>
      </c>
      <c r="E25" s="2"/>
      <c r="F25" s="2">
        <v>16685</v>
      </c>
    </row>
    <row r="26" spans="1:6" ht="15" thickBot="1" x14ac:dyDescent="0.35">
      <c r="A26" s="3">
        <v>45607</v>
      </c>
      <c r="B26" s="2">
        <v>5220</v>
      </c>
      <c r="C26" s="2">
        <v>9649</v>
      </c>
      <c r="D26" s="2">
        <v>4882</v>
      </c>
      <c r="E26" s="2"/>
      <c r="F26" s="2">
        <v>19751</v>
      </c>
    </row>
    <row r="27" spans="1:6" ht="15" thickBot="1" x14ac:dyDescent="0.35">
      <c r="A27" s="3">
        <v>45614</v>
      </c>
      <c r="B27" s="2"/>
      <c r="C27" s="2">
        <v>6384</v>
      </c>
      <c r="D27" s="2">
        <v>9648</v>
      </c>
      <c r="E27" s="2">
        <v>5206</v>
      </c>
      <c r="F27" s="2">
        <v>21238</v>
      </c>
    </row>
    <row r="28" spans="1:6" ht="15" thickBot="1" x14ac:dyDescent="0.35">
      <c r="A28" s="3">
        <v>45621</v>
      </c>
      <c r="B28" s="2">
        <v>5143</v>
      </c>
      <c r="C28" s="2"/>
      <c r="D28" s="2">
        <v>8945</v>
      </c>
      <c r="E28" s="2">
        <v>14537</v>
      </c>
      <c r="F28" s="2">
        <v>28625</v>
      </c>
    </row>
    <row r="29" spans="1:6" ht="15" thickBot="1" x14ac:dyDescent="0.35">
      <c r="A29" s="3">
        <v>45628</v>
      </c>
      <c r="B29" s="2">
        <v>3929</v>
      </c>
      <c r="C29" s="2"/>
      <c r="D29" s="2">
        <v>5402</v>
      </c>
      <c r="E29" s="2">
        <v>8999</v>
      </c>
      <c r="F29" s="2">
        <v>18330</v>
      </c>
    </row>
    <row r="30" spans="1:6" ht="15" thickBot="1" x14ac:dyDescent="0.35">
      <c r="A30" s="3">
        <v>45635</v>
      </c>
      <c r="B30" s="2">
        <v>4790</v>
      </c>
      <c r="C30" s="2">
        <v>6642</v>
      </c>
      <c r="D30" s="2">
        <v>949</v>
      </c>
      <c r="E30" s="2">
        <v>3461</v>
      </c>
      <c r="F30" s="2">
        <v>15842</v>
      </c>
    </row>
    <row r="31" spans="1:6" ht="15" thickBot="1" x14ac:dyDescent="0.35">
      <c r="A31" s="3">
        <v>45642</v>
      </c>
      <c r="B31" s="2"/>
      <c r="C31" s="2">
        <v>6275</v>
      </c>
      <c r="D31" s="2">
        <v>8527</v>
      </c>
      <c r="E31" s="2">
        <v>4802</v>
      </c>
      <c r="F31" s="2">
        <v>19604</v>
      </c>
    </row>
    <row r="32" spans="1:6" ht="15" thickBot="1" x14ac:dyDescent="0.35">
      <c r="A32" s="3">
        <v>45649</v>
      </c>
      <c r="B32" s="2">
        <v>7328</v>
      </c>
      <c r="C32" s="2"/>
      <c r="D32" s="2">
        <v>7541</v>
      </c>
      <c r="E32" s="2">
        <v>4314</v>
      </c>
      <c r="F32" s="2">
        <v>19183</v>
      </c>
    </row>
    <row r="33" spans="1:6" ht="15" thickBot="1" x14ac:dyDescent="0.35">
      <c r="A33" s="3">
        <v>45656</v>
      </c>
      <c r="B33" s="2"/>
      <c r="C33" s="2">
        <v>3079</v>
      </c>
      <c r="D33" s="2">
        <v>16577</v>
      </c>
      <c r="E33" s="2">
        <v>4214</v>
      </c>
      <c r="F33" s="2">
        <v>23870</v>
      </c>
    </row>
    <row r="34" spans="1:6" ht="15" thickBot="1" x14ac:dyDescent="0.35">
      <c r="A34" s="3">
        <v>45663</v>
      </c>
      <c r="B34" s="2">
        <v>8601</v>
      </c>
      <c r="C34" s="2">
        <v>9202</v>
      </c>
      <c r="D34" s="2">
        <v>9254</v>
      </c>
      <c r="E34" s="2"/>
      <c r="F34" s="2">
        <v>27057</v>
      </c>
    </row>
    <row r="35" spans="1:6" ht="15" thickBot="1" x14ac:dyDescent="0.35">
      <c r="A35" s="3">
        <v>45670</v>
      </c>
      <c r="B35" s="2">
        <v>1001</v>
      </c>
      <c r="C35" s="2">
        <v>7346</v>
      </c>
      <c r="D35" s="2">
        <v>7471</v>
      </c>
      <c r="E35" s="2">
        <v>2919</v>
      </c>
      <c r="F35" s="2">
        <v>18737</v>
      </c>
    </row>
    <row r="36" spans="1:6" ht="15" thickBot="1" x14ac:dyDescent="0.35">
      <c r="A36" s="3">
        <v>45677</v>
      </c>
      <c r="B36" s="2">
        <v>7654</v>
      </c>
      <c r="C36" s="2">
        <v>20155</v>
      </c>
      <c r="D36" s="2"/>
      <c r="E36" s="2"/>
      <c r="F36" s="2">
        <v>27809</v>
      </c>
    </row>
    <row r="37" spans="1:6" ht="15" thickBot="1" x14ac:dyDescent="0.35">
      <c r="A37" s="3">
        <v>45684</v>
      </c>
      <c r="B37" s="2"/>
      <c r="C37" s="2">
        <v>11789</v>
      </c>
      <c r="D37" s="2">
        <v>7260</v>
      </c>
      <c r="E37" s="2">
        <v>3643</v>
      </c>
      <c r="F37" s="2">
        <v>22692</v>
      </c>
    </row>
    <row r="38" spans="1:6" ht="15" thickBot="1" x14ac:dyDescent="0.35">
      <c r="A38" s="3">
        <v>45691</v>
      </c>
      <c r="B38" s="2">
        <v>12447</v>
      </c>
      <c r="C38" s="2">
        <v>16086</v>
      </c>
      <c r="D38" s="2"/>
      <c r="E38" s="2"/>
      <c r="F38" s="2">
        <v>28533</v>
      </c>
    </row>
    <row r="39" spans="1:6" ht="15" thickBot="1" x14ac:dyDescent="0.35">
      <c r="A39" s="3">
        <v>45698</v>
      </c>
      <c r="B39" s="2"/>
      <c r="C39" s="2">
        <v>1020</v>
      </c>
      <c r="D39" s="2">
        <v>12622</v>
      </c>
      <c r="E39" s="2"/>
      <c r="F39" s="2">
        <v>13642</v>
      </c>
    </row>
    <row r="40" spans="1:6" ht="15" thickBot="1" x14ac:dyDescent="0.35">
      <c r="A40" s="3">
        <v>45705</v>
      </c>
      <c r="B40" s="2"/>
      <c r="C40" s="2">
        <v>1290</v>
      </c>
      <c r="D40" s="2">
        <v>5101</v>
      </c>
      <c r="E40" s="2">
        <v>11468</v>
      </c>
      <c r="F40" s="2">
        <v>17859</v>
      </c>
    </row>
    <row r="41" spans="1:6" ht="15" thickBot="1" x14ac:dyDescent="0.35">
      <c r="A41" s="3">
        <v>45712</v>
      </c>
      <c r="B41" s="2">
        <v>15359</v>
      </c>
      <c r="C41" s="2"/>
      <c r="D41" s="2"/>
      <c r="E41" s="2">
        <v>15087</v>
      </c>
      <c r="F41" s="2">
        <v>30446</v>
      </c>
    </row>
    <row r="42" spans="1:6" ht="15" thickBot="1" x14ac:dyDescent="0.35">
      <c r="A42" s="3">
        <v>45719</v>
      </c>
      <c r="B42" s="2">
        <v>6631</v>
      </c>
      <c r="C42" s="2">
        <v>6326</v>
      </c>
      <c r="D42" s="2">
        <v>7432</v>
      </c>
      <c r="E42" s="2"/>
      <c r="F42" s="2">
        <v>20389</v>
      </c>
    </row>
    <row r="43" spans="1:6" ht="15" thickBot="1" x14ac:dyDescent="0.35">
      <c r="A43" s="3">
        <v>45726</v>
      </c>
      <c r="B43" s="2">
        <v>3555</v>
      </c>
      <c r="C43" s="2">
        <v>8723</v>
      </c>
      <c r="D43" s="2">
        <v>2535</v>
      </c>
      <c r="E43" s="2">
        <v>2994</v>
      </c>
      <c r="F43" s="2">
        <v>17807</v>
      </c>
    </row>
    <row r="44" spans="1:6" ht="15" thickBot="1" x14ac:dyDescent="0.35">
      <c r="A44" s="3">
        <v>45733</v>
      </c>
      <c r="B44" s="2"/>
      <c r="C44" s="2"/>
      <c r="D44" s="2">
        <v>19728</v>
      </c>
      <c r="E44" s="2">
        <v>8292</v>
      </c>
      <c r="F44" s="2">
        <v>28020</v>
      </c>
    </row>
    <row r="45" spans="1:6" ht="15" thickBot="1" x14ac:dyDescent="0.35">
      <c r="A45" s="3">
        <v>45740</v>
      </c>
      <c r="B45" s="2">
        <v>4189</v>
      </c>
      <c r="C45" s="2"/>
      <c r="D45" s="2">
        <v>21227</v>
      </c>
      <c r="E45" s="2"/>
      <c r="F45" s="2">
        <v>25416</v>
      </c>
    </row>
    <row r="46" spans="1:6" ht="15" thickBot="1" x14ac:dyDescent="0.35">
      <c r="A46" s="3">
        <v>45747</v>
      </c>
      <c r="B46" s="2">
        <v>1567</v>
      </c>
      <c r="C46" s="2">
        <v>6272</v>
      </c>
      <c r="D46" s="2">
        <v>1660</v>
      </c>
      <c r="E46" s="2">
        <v>6128</v>
      </c>
      <c r="F46" s="2">
        <v>15627</v>
      </c>
    </row>
    <row r="47" spans="1:6" ht="15" thickBot="1" x14ac:dyDescent="0.35">
      <c r="A47" s="3">
        <v>45754</v>
      </c>
      <c r="B47" s="2">
        <v>6434</v>
      </c>
      <c r="C47" s="2">
        <v>8319</v>
      </c>
      <c r="D47" s="2">
        <v>4542</v>
      </c>
      <c r="E47" s="2">
        <v>1425</v>
      </c>
      <c r="F47" s="2">
        <v>20720</v>
      </c>
    </row>
    <row r="48" spans="1:6" ht="15" thickBot="1" x14ac:dyDescent="0.35">
      <c r="A48" s="3">
        <v>45761</v>
      </c>
      <c r="B48" s="2"/>
      <c r="C48" s="2"/>
      <c r="D48" s="2">
        <v>24995</v>
      </c>
      <c r="E48" s="2"/>
      <c r="F48" s="2">
        <v>24995</v>
      </c>
    </row>
    <row r="49" spans="1:6" ht="15" thickBot="1" x14ac:dyDescent="0.35">
      <c r="A49" s="3">
        <v>45768</v>
      </c>
      <c r="B49" s="2"/>
      <c r="C49" s="2">
        <v>7058</v>
      </c>
      <c r="D49" s="2"/>
      <c r="E49" s="2">
        <v>15012</v>
      </c>
      <c r="F49" s="2">
        <v>22070</v>
      </c>
    </row>
    <row r="50" spans="1:6" ht="15" thickBot="1" x14ac:dyDescent="0.35">
      <c r="A50" s="3">
        <v>45775</v>
      </c>
      <c r="B50" s="2"/>
      <c r="C50" s="2">
        <v>15937</v>
      </c>
      <c r="D50" s="2">
        <v>1512</v>
      </c>
      <c r="E50" s="2"/>
      <c r="F50" s="2">
        <v>17449</v>
      </c>
    </row>
    <row r="51" spans="1:6" ht="15" thickBot="1" x14ac:dyDescent="0.35">
      <c r="A51" s="3">
        <v>45782</v>
      </c>
      <c r="B51" s="2">
        <v>5210</v>
      </c>
      <c r="C51" s="2"/>
      <c r="D51" s="2">
        <v>2960</v>
      </c>
      <c r="E51" s="2">
        <v>7959</v>
      </c>
      <c r="F51" s="2">
        <v>16129</v>
      </c>
    </row>
    <row r="52" spans="1:6" ht="15" thickBot="1" x14ac:dyDescent="0.35">
      <c r="A52" s="3">
        <v>45789</v>
      </c>
      <c r="B52" s="2"/>
      <c r="C52" s="2">
        <v>7436</v>
      </c>
      <c r="D52" s="2">
        <v>8146</v>
      </c>
      <c r="E52" s="2">
        <v>2805</v>
      </c>
      <c r="F52" s="2">
        <v>18387</v>
      </c>
    </row>
    <row r="53" spans="1:6" ht="15" thickBot="1" x14ac:dyDescent="0.35">
      <c r="A53" s="2" t="s">
        <v>5</v>
      </c>
      <c r="B53" s="2">
        <v>230642</v>
      </c>
      <c r="C53" s="2">
        <v>303407</v>
      </c>
      <c r="D53" s="2">
        <v>290487</v>
      </c>
      <c r="E53" s="2">
        <v>261862</v>
      </c>
      <c r="F53" s="2">
        <v>1086398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9CC1-3042-4D3B-AC7A-2D165AC3DF22}">
  <dimension ref="A1:P201"/>
  <sheetViews>
    <sheetView workbookViewId="0">
      <selection activeCell="P3" sqref="J3:P3"/>
    </sheetView>
  </sheetViews>
  <sheetFormatPr defaultRowHeight="14.4" x14ac:dyDescent="0.3"/>
  <cols>
    <col min="1" max="1" width="10.5546875" bestFit="1" customWidth="1"/>
    <col min="2" max="2" width="14.88671875" bestFit="1" customWidth="1"/>
    <col min="3" max="3" width="11.88671875" bestFit="1" customWidth="1"/>
    <col min="6" max="6" width="10.5546875" bestFit="1" customWidth="1"/>
    <col min="7" max="7" width="19.77734375" bestFit="1" customWidth="1"/>
    <col min="8" max="8" width="16.6640625" bestFit="1" customWidth="1"/>
  </cols>
  <sheetData>
    <row r="1" spans="1:16" ht="15" thickBot="1" x14ac:dyDescent="0.35">
      <c r="A1" s="10" t="s">
        <v>0</v>
      </c>
      <c r="B1" s="11" t="s">
        <v>8</v>
      </c>
      <c r="C1" s="12" t="s">
        <v>9</v>
      </c>
    </row>
    <row r="2" spans="1:16" ht="15" thickBot="1" x14ac:dyDescent="0.35">
      <c r="A2" s="15" t="s">
        <v>1</v>
      </c>
      <c r="B2" s="2">
        <v>3777</v>
      </c>
      <c r="C2" s="4">
        <v>23944</v>
      </c>
      <c r="F2" s="10" t="s">
        <v>0</v>
      </c>
      <c r="G2" s="11" t="s">
        <v>11</v>
      </c>
      <c r="H2" s="12" t="s">
        <v>10</v>
      </c>
    </row>
    <row r="3" spans="1:16" ht="15" thickBot="1" x14ac:dyDescent="0.35">
      <c r="A3" s="15" t="s">
        <v>2</v>
      </c>
      <c r="B3" s="2">
        <v>7432</v>
      </c>
      <c r="C3" s="4">
        <v>29873</v>
      </c>
      <c r="F3" s="13" t="s">
        <v>2</v>
      </c>
      <c r="G3" s="19">
        <f>SUMIF(A:A,F3,B:B)</f>
        <v>303407</v>
      </c>
      <c r="H3" s="20">
        <f>SUMIF(A:A,F3,C:C)</f>
        <v>1874083</v>
      </c>
      <c r="J3" s="23" t="s">
        <v>12</v>
      </c>
      <c r="K3" s="23"/>
      <c r="L3" s="23"/>
      <c r="M3" s="23"/>
      <c r="N3" s="23"/>
      <c r="O3" s="23"/>
      <c r="P3" s="23"/>
    </row>
    <row r="4" spans="1:16" ht="15" thickBot="1" x14ac:dyDescent="0.35">
      <c r="A4" s="15" t="s">
        <v>3</v>
      </c>
      <c r="B4" s="2">
        <v>8123</v>
      </c>
      <c r="C4" s="4">
        <v>50372</v>
      </c>
      <c r="F4" s="13" t="s">
        <v>4</v>
      </c>
      <c r="G4" s="19">
        <f>SUMIF(A:A,F4,B:B)</f>
        <v>290487</v>
      </c>
      <c r="H4" s="20">
        <f>SUMIF(A:A,F4,C:C)</f>
        <v>1990523</v>
      </c>
    </row>
    <row r="5" spans="1:16" ht="15" thickBot="1" x14ac:dyDescent="0.35">
      <c r="A5" s="15" t="s">
        <v>3</v>
      </c>
      <c r="B5" s="2">
        <v>7871</v>
      </c>
      <c r="C5" s="4">
        <v>33928</v>
      </c>
      <c r="F5" s="13" t="s">
        <v>1</v>
      </c>
      <c r="G5" s="19">
        <f>SUMIF(A:A,F5,B:B)</f>
        <v>261862</v>
      </c>
      <c r="H5" s="20">
        <f>SUMIF(A:A,F5,C:C)</f>
        <v>1775883</v>
      </c>
    </row>
    <row r="6" spans="1:16" ht="15" thickBot="1" x14ac:dyDescent="0.35">
      <c r="A6" s="15" t="s">
        <v>1</v>
      </c>
      <c r="B6" s="2">
        <v>7215</v>
      </c>
      <c r="C6" s="4">
        <v>25379</v>
      </c>
      <c r="F6" s="14" t="s">
        <v>3</v>
      </c>
      <c r="G6" s="21">
        <f>SUMIF(A:A,F6,B:B)</f>
        <v>230642</v>
      </c>
      <c r="H6" s="22">
        <f>SUMIF(A:A,F6,C:C)</f>
        <v>1286371</v>
      </c>
    </row>
    <row r="7" spans="1:16" ht="15" thickBot="1" x14ac:dyDescent="0.35">
      <c r="A7" s="15" t="s">
        <v>3</v>
      </c>
      <c r="B7" s="2">
        <v>7478</v>
      </c>
      <c r="C7" s="4">
        <v>46751</v>
      </c>
    </row>
    <row r="8" spans="1:16" ht="15" thickBot="1" x14ac:dyDescent="0.35">
      <c r="A8" s="15" t="s">
        <v>2</v>
      </c>
      <c r="B8" s="2">
        <v>4934</v>
      </c>
      <c r="C8" s="4">
        <v>44546</v>
      </c>
    </row>
    <row r="9" spans="1:16" ht="15" thickBot="1" x14ac:dyDescent="0.35">
      <c r="A9" s="15" t="s">
        <v>2</v>
      </c>
      <c r="B9" s="2">
        <v>3435</v>
      </c>
      <c r="C9" s="4">
        <v>34286</v>
      </c>
    </row>
    <row r="10" spans="1:16" ht="15" thickBot="1" x14ac:dyDescent="0.35">
      <c r="A10" s="15" t="s">
        <v>1</v>
      </c>
      <c r="B10" s="2">
        <v>7452</v>
      </c>
      <c r="C10" s="4">
        <v>15110</v>
      </c>
    </row>
    <row r="11" spans="1:16" ht="15" thickBot="1" x14ac:dyDescent="0.35">
      <c r="A11" s="15" t="s">
        <v>2</v>
      </c>
      <c r="B11" s="2">
        <v>6073</v>
      </c>
      <c r="C11" s="4">
        <v>22087</v>
      </c>
    </row>
    <row r="12" spans="1:16" ht="15" thickBot="1" x14ac:dyDescent="0.35">
      <c r="A12" s="15" t="s">
        <v>4</v>
      </c>
      <c r="B12" s="2">
        <v>6728</v>
      </c>
      <c r="C12" s="4">
        <v>33762</v>
      </c>
    </row>
    <row r="13" spans="1:16" ht="15" thickBot="1" x14ac:dyDescent="0.35">
      <c r="A13" s="15" t="s">
        <v>1</v>
      </c>
      <c r="B13" s="2">
        <v>5678</v>
      </c>
      <c r="C13" s="4">
        <v>27081</v>
      </c>
    </row>
    <row r="14" spans="1:16" ht="15" thickBot="1" x14ac:dyDescent="0.35">
      <c r="A14" s="15" t="s">
        <v>2</v>
      </c>
      <c r="B14" s="2">
        <v>6430</v>
      </c>
      <c r="C14" s="4">
        <v>52003</v>
      </c>
    </row>
    <row r="15" spans="1:16" ht="15" thickBot="1" x14ac:dyDescent="0.35">
      <c r="A15" s="15" t="s">
        <v>3</v>
      </c>
      <c r="B15" s="2">
        <v>8653</v>
      </c>
      <c r="C15" s="4">
        <v>48019</v>
      </c>
    </row>
    <row r="16" spans="1:16" ht="15" thickBot="1" x14ac:dyDescent="0.35">
      <c r="A16" s="15" t="s">
        <v>2</v>
      </c>
      <c r="B16" s="2">
        <v>8654</v>
      </c>
      <c r="C16" s="4">
        <v>44947</v>
      </c>
    </row>
    <row r="17" spans="1:3" ht="15" thickBot="1" x14ac:dyDescent="0.35">
      <c r="A17" s="15" t="s">
        <v>1</v>
      </c>
      <c r="B17" s="2">
        <v>4885</v>
      </c>
      <c r="C17" s="4">
        <v>19596</v>
      </c>
    </row>
    <row r="18" spans="1:3" ht="15" thickBot="1" x14ac:dyDescent="0.35">
      <c r="A18" s="15" t="s">
        <v>4</v>
      </c>
      <c r="B18" s="2">
        <v>5442</v>
      </c>
      <c r="C18" s="4">
        <v>28313</v>
      </c>
    </row>
    <row r="19" spans="1:3" ht="15" thickBot="1" x14ac:dyDescent="0.35">
      <c r="A19" s="15" t="s">
        <v>2</v>
      </c>
      <c r="B19" s="2">
        <v>8463</v>
      </c>
      <c r="C19" s="4">
        <v>57639</v>
      </c>
    </row>
    <row r="20" spans="1:3" ht="15" thickBot="1" x14ac:dyDescent="0.35">
      <c r="A20" s="15" t="s">
        <v>1</v>
      </c>
      <c r="B20" s="2">
        <v>3202</v>
      </c>
      <c r="C20" s="4">
        <v>11013</v>
      </c>
    </row>
    <row r="21" spans="1:3" ht="15" thickBot="1" x14ac:dyDescent="0.35">
      <c r="A21" s="15" t="s">
        <v>1</v>
      </c>
      <c r="B21" s="2">
        <v>2726</v>
      </c>
      <c r="C21" s="4">
        <v>59378</v>
      </c>
    </row>
    <row r="22" spans="1:3" ht="15" thickBot="1" x14ac:dyDescent="0.35">
      <c r="A22" s="15" t="s">
        <v>2</v>
      </c>
      <c r="B22" s="2">
        <v>7151</v>
      </c>
      <c r="C22" s="4">
        <v>33705</v>
      </c>
    </row>
    <row r="23" spans="1:3" ht="15" thickBot="1" x14ac:dyDescent="0.35">
      <c r="A23" s="15" t="s">
        <v>4</v>
      </c>
      <c r="B23" s="2">
        <v>1918</v>
      </c>
      <c r="C23" s="4">
        <v>11828</v>
      </c>
    </row>
    <row r="24" spans="1:3" ht="15" thickBot="1" x14ac:dyDescent="0.35">
      <c r="A24" s="15" t="s">
        <v>4</v>
      </c>
      <c r="B24" s="2">
        <v>6236</v>
      </c>
      <c r="C24" s="4">
        <v>17909</v>
      </c>
    </row>
    <row r="25" spans="1:3" ht="15" thickBot="1" x14ac:dyDescent="0.35">
      <c r="A25" s="15" t="s">
        <v>4</v>
      </c>
      <c r="B25" s="2">
        <v>3224</v>
      </c>
      <c r="C25" s="4">
        <v>48356</v>
      </c>
    </row>
    <row r="26" spans="1:3" ht="15" thickBot="1" x14ac:dyDescent="0.35">
      <c r="A26" s="15" t="s">
        <v>1</v>
      </c>
      <c r="B26" s="2">
        <v>1381</v>
      </c>
      <c r="C26" s="4">
        <v>36661</v>
      </c>
    </row>
    <row r="27" spans="1:3" ht="15" thickBot="1" x14ac:dyDescent="0.35">
      <c r="A27" s="15" t="s">
        <v>3</v>
      </c>
      <c r="B27" s="2">
        <v>1826</v>
      </c>
      <c r="C27" s="4">
        <v>24537</v>
      </c>
    </row>
    <row r="28" spans="1:3" ht="15" thickBot="1" x14ac:dyDescent="0.35">
      <c r="A28" s="15" t="s">
        <v>1</v>
      </c>
      <c r="B28" s="2">
        <v>3586</v>
      </c>
      <c r="C28" s="4">
        <v>23109</v>
      </c>
    </row>
    <row r="29" spans="1:3" ht="15" thickBot="1" x14ac:dyDescent="0.35">
      <c r="A29" s="15" t="s">
        <v>2</v>
      </c>
      <c r="B29" s="2">
        <v>7092</v>
      </c>
      <c r="C29" s="4">
        <v>12023</v>
      </c>
    </row>
    <row r="30" spans="1:3" ht="15" thickBot="1" x14ac:dyDescent="0.35">
      <c r="A30" s="15" t="s">
        <v>4</v>
      </c>
      <c r="B30" s="2">
        <v>7429</v>
      </c>
      <c r="C30" s="4">
        <v>48659</v>
      </c>
    </row>
    <row r="31" spans="1:3" ht="15" thickBot="1" x14ac:dyDescent="0.35">
      <c r="A31" s="15" t="s">
        <v>2</v>
      </c>
      <c r="B31" s="2">
        <v>7733</v>
      </c>
      <c r="C31" s="4">
        <v>43848</v>
      </c>
    </row>
    <row r="32" spans="1:3" ht="15" thickBot="1" x14ac:dyDescent="0.35">
      <c r="A32" s="15" t="s">
        <v>4</v>
      </c>
      <c r="B32" s="2">
        <v>7974</v>
      </c>
      <c r="C32" s="4">
        <v>47804</v>
      </c>
    </row>
    <row r="33" spans="1:3" ht="15" thickBot="1" x14ac:dyDescent="0.35">
      <c r="A33" s="15" t="s">
        <v>3</v>
      </c>
      <c r="B33" s="2">
        <v>9082</v>
      </c>
      <c r="C33" s="4">
        <v>25379</v>
      </c>
    </row>
    <row r="34" spans="1:3" ht="15" thickBot="1" x14ac:dyDescent="0.35">
      <c r="A34" s="15" t="s">
        <v>4</v>
      </c>
      <c r="B34" s="2">
        <v>1741</v>
      </c>
      <c r="C34" s="4">
        <v>37766</v>
      </c>
    </row>
    <row r="35" spans="1:3" ht="15" thickBot="1" x14ac:dyDescent="0.35">
      <c r="A35" s="15" t="s">
        <v>4</v>
      </c>
      <c r="B35" s="2">
        <v>5796</v>
      </c>
      <c r="C35" s="4">
        <v>53590</v>
      </c>
    </row>
    <row r="36" spans="1:3" ht="15" thickBot="1" x14ac:dyDescent="0.35">
      <c r="A36" s="15" t="s">
        <v>3</v>
      </c>
      <c r="B36" s="2">
        <v>3445</v>
      </c>
      <c r="C36" s="4">
        <v>12563</v>
      </c>
    </row>
    <row r="37" spans="1:3" ht="15" thickBot="1" x14ac:dyDescent="0.35">
      <c r="A37" s="15" t="s">
        <v>2</v>
      </c>
      <c r="B37" s="2">
        <v>6039</v>
      </c>
      <c r="C37" s="4">
        <v>46060</v>
      </c>
    </row>
    <row r="38" spans="1:3" ht="15" thickBot="1" x14ac:dyDescent="0.35">
      <c r="A38" s="15" t="s">
        <v>3</v>
      </c>
      <c r="B38" s="2">
        <v>2543</v>
      </c>
      <c r="C38" s="4">
        <v>26087</v>
      </c>
    </row>
    <row r="39" spans="1:3" ht="15" thickBot="1" x14ac:dyDescent="0.35">
      <c r="A39" s="15" t="s">
        <v>4</v>
      </c>
      <c r="B39" s="2">
        <v>4847</v>
      </c>
      <c r="C39" s="4">
        <v>58868</v>
      </c>
    </row>
    <row r="40" spans="1:3" ht="15" thickBot="1" x14ac:dyDescent="0.35">
      <c r="A40" s="15" t="s">
        <v>2</v>
      </c>
      <c r="B40" s="2">
        <v>3497</v>
      </c>
      <c r="C40" s="4">
        <v>13586</v>
      </c>
    </row>
    <row r="41" spans="1:3" ht="15" thickBot="1" x14ac:dyDescent="0.35">
      <c r="A41" s="15" t="s">
        <v>1</v>
      </c>
      <c r="B41" s="2">
        <v>3213</v>
      </c>
      <c r="C41" s="4">
        <v>39197</v>
      </c>
    </row>
    <row r="42" spans="1:3" ht="15" thickBot="1" x14ac:dyDescent="0.35">
      <c r="A42" s="15" t="s">
        <v>2</v>
      </c>
      <c r="B42" s="2">
        <v>5795</v>
      </c>
      <c r="C42" s="4">
        <v>33225</v>
      </c>
    </row>
    <row r="43" spans="1:3" ht="15" thickBot="1" x14ac:dyDescent="0.35">
      <c r="A43" s="15" t="s">
        <v>1</v>
      </c>
      <c r="B43" s="2">
        <v>6853</v>
      </c>
      <c r="C43" s="4">
        <v>39750</v>
      </c>
    </row>
    <row r="44" spans="1:3" ht="15" thickBot="1" x14ac:dyDescent="0.35">
      <c r="A44" s="15" t="s">
        <v>3</v>
      </c>
      <c r="B44" s="2">
        <v>7033</v>
      </c>
      <c r="C44" s="4">
        <v>16643</v>
      </c>
    </row>
    <row r="45" spans="1:3" ht="15" thickBot="1" x14ac:dyDescent="0.35">
      <c r="A45" s="15" t="s">
        <v>2</v>
      </c>
      <c r="B45" s="2">
        <v>7005</v>
      </c>
      <c r="C45" s="4">
        <v>37523</v>
      </c>
    </row>
    <row r="46" spans="1:3" ht="15" thickBot="1" x14ac:dyDescent="0.35">
      <c r="A46" s="15" t="s">
        <v>1</v>
      </c>
      <c r="B46" s="2">
        <v>6920</v>
      </c>
      <c r="C46" s="4">
        <v>46727</v>
      </c>
    </row>
    <row r="47" spans="1:3" ht="15" thickBot="1" x14ac:dyDescent="0.35">
      <c r="A47" s="15" t="s">
        <v>3</v>
      </c>
      <c r="B47" s="2">
        <v>5071</v>
      </c>
      <c r="C47" s="4">
        <v>21005</v>
      </c>
    </row>
    <row r="48" spans="1:3" ht="15" thickBot="1" x14ac:dyDescent="0.35">
      <c r="A48" s="15" t="s">
        <v>1</v>
      </c>
      <c r="B48" s="2">
        <v>6915</v>
      </c>
      <c r="C48" s="4">
        <v>53543</v>
      </c>
    </row>
    <row r="49" spans="1:3" ht="15" thickBot="1" x14ac:dyDescent="0.35">
      <c r="A49" s="15" t="s">
        <v>3</v>
      </c>
      <c r="B49" s="2">
        <v>4356</v>
      </c>
      <c r="C49" s="4">
        <v>10161</v>
      </c>
    </row>
    <row r="50" spans="1:3" ht="15" thickBot="1" x14ac:dyDescent="0.35">
      <c r="A50" s="15" t="s">
        <v>3</v>
      </c>
      <c r="B50" s="2">
        <v>5303</v>
      </c>
      <c r="C50" s="4">
        <v>38731</v>
      </c>
    </row>
    <row r="51" spans="1:3" ht="15" thickBot="1" x14ac:dyDescent="0.35">
      <c r="A51" s="15" t="s">
        <v>1</v>
      </c>
      <c r="B51" s="2">
        <v>8231</v>
      </c>
      <c r="C51" s="4">
        <v>24226</v>
      </c>
    </row>
    <row r="52" spans="1:3" ht="15" thickBot="1" x14ac:dyDescent="0.35">
      <c r="A52" s="15" t="s">
        <v>4</v>
      </c>
      <c r="B52" s="2">
        <v>1513</v>
      </c>
      <c r="C52" s="4">
        <v>26029</v>
      </c>
    </row>
    <row r="53" spans="1:3" ht="15" thickBot="1" x14ac:dyDescent="0.35">
      <c r="A53" s="15" t="s">
        <v>2</v>
      </c>
      <c r="B53" s="2">
        <v>5753</v>
      </c>
      <c r="C53" s="4">
        <v>59745</v>
      </c>
    </row>
    <row r="54" spans="1:3" ht="15" thickBot="1" x14ac:dyDescent="0.35">
      <c r="A54" s="15" t="s">
        <v>1</v>
      </c>
      <c r="B54" s="2">
        <v>5520</v>
      </c>
      <c r="C54" s="4">
        <v>53922</v>
      </c>
    </row>
    <row r="55" spans="1:3" ht="15" thickBot="1" x14ac:dyDescent="0.35">
      <c r="A55" s="15" t="s">
        <v>1</v>
      </c>
      <c r="B55" s="2">
        <v>1876</v>
      </c>
      <c r="C55" s="4">
        <v>54848</v>
      </c>
    </row>
    <row r="56" spans="1:3" ht="15" thickBot="1" x14ac:dyDescent="0.35">
      <c r="A56" s="15" t="s">
        <v>2</v>
      </c>
      <c r="B56" s="2">
        <v>6593</v>
      </c>
      <c r="C56" s="4">
        <v>13390</v>
      </c>
    </row>
    <row r="57" spans="1:3" ht="15" thickBot="1" x14ac:dyDescent="0.35">
      <c r="A57" s="15" t="s">
        <v>4</v>
      </c>
      <c r="B57" s="2">
        <v>8228</v>
      </c>
      <c r="C57" s="4">
        <v>15997</v>
      </c>
    </row>
    <row r="58" spans="1:3" ht="15" thickBot="1" x14ac:dyDescent="0.35">
      <c r="A58" s="15" t="s">
        <v>1</v>
      </c>
      <c r="B58" s="2">
        <v>7442</v>
      </c>
      <c r="C58" s="4">
        <v>22693</v>
      </c>
    </row>
    <row r="59" spans="1:3" ht="15" thickBot="1" x14ac:dyDescent="0.35">
      <c r="A59" s="15" t="s">
        <v>3</v>
      </c>
      <c r="B59" s="2">
        <v>9118</v>
      </c>
      <c r="C59" s="4">
        <v>59815</v>
      </c>
    </row>
    <row r="60" spans="1:3" ht="15" thickBot="1" x14ac:dyDescent="0.35">
      <c r="A60" s="15" t="s">
        <v>3</v>
      </c>
      <c r="B60" s="2">
        <v>2495</v>
      </c>
      <c r="C60" s="4">
        <v>52092</v>
      </c>
    </row>
    <row r="61" spans="1:3" ht="15" thickBot="1" x14ac:dyDescent="0.35">
      <c r="A61" s="15" t="s">
        <v>4</v>
      </c>
      <c r="B61" s="2">
        <v>6121</v>
      </c>
      <c r="C61" s="4">
        <v>10541</v>
      </c>
    </row>
    <row r="62" spans="1:3" ht="15" thickBot="1" x14ac:dyDescent="0.35">
      <c r="A62" s="15" t="s">
        <v>2</v>
      </c>
      <c r="B62" s="2">
        <v>3925</v>
      </c>
      <c r="C62" s="4">
        <v>53934</v>
      </c>
    </row>
    <row r="63" spans="1:3" ht="15" thickBot="1" x14ac:dyDescent="0.35">
      <c r="A63" s="15" t="s">
        <v>3</v>
      </c>
      <c r="B63" s="2">
        <v>2084</v>
      </c>
      <c r="C63" s="4">
        <v>23428</v>
      </c>
    </row>
    <row r="64" spans="1:3" ht="15" thickBot="1" x14ac:dyDescent="0.35">
      <c r="A64" s="15" t="s">
        <v>3</v>
      </c>
      <c r="B64" s="2">
        <v>7224</v>
      </c>
      <c r="C64" s="4">
        <v>31817</v>
      </c>
    </row>
    <row r="65" spans="1:3" ht="15" thickBot="1" x14ac:dyDescent="0.35">
      <c r="A65" s="15" t="s">
        <v>4</v>
      </c>
      <c r="B65" s="2">
        <v>2199</v>
      </c>
      <c r="C65" s="4">
        <v>47861</v>
      </c>
    </row>
    <row r="66" spans="1:3" ht="15" thickBot="1" x14ac:dyDescent="0.35">
      <c r="A66" s="15" t="s">
        <v>1</v>
      </c>
      <c r="B66" s="2">
        <v>1309</v>
      </c>
      <c r="C66" s="4">
        <v>58831</v>
      </c>
    </row>
    <row r="67" spans="1:3" ht="15" thickBot="1" x14ac:dyDescent="0.35">
      <c r="A67" s="15" t="s">
        <v>2</v>
      </c>
      <c r="B67" s="2">
        <v>4942</v>
      </c>
      <c r="C67" s="4">
        <v>20258</v>
      </c>
    </row>
    <row r="68" spans="1:3" ht="15" thickBot="1" x14ac:dyDescent="0.35">
      <c r="A68" s="15" t="s">
        <v>1</v>
      </c>
      <c r="B68" s="2">
        <v>4027</v>
      </c>
      <c r="C68" s="4">
        <v>26044</v>
      </c>
    </row>
    <row r="69" spans="1:3" ht="15" thickBot="1" x14ac:dyDescent="0.35">
      <c r="A69" s="15" t="s">
        <v>1</v>
      </c>
      <c r="B69" s="2">
        <v>7704</v>
      </c>
      <c r="C69" s="4">
        <v>39411</v>
      </c>
    </row>
    <row r="70" spans="1:3" ht="15" thickBot="1" x14ac:dyDescent="0.35">
      <c r="A70" s="15" t="s">
        <v>1</v>
      </c>
      <c r="B70" s="2">
        <v>8361</v>
      </c>
      <c r="C70" s="4">
        <v>15469</v>
      </c>
    </row>
    <row r="71" spans="1:3" ht="15" thickBot="1" x14ac:dyDescent="0.35">
      <c r="A71" s="15" t="s">
        <v>2</v>
      </c>
      <c r="B71" s="2">
        <v>5698</v>
      </c>
      <c r="C71" s="4">
        <v>38854</v>
      </c>
    </row>
    <row r="72" spans="1:3" ht="15" thickBot="1" x14ac:dyDescent="0.35">
      <c r="A72" s="15" t="s">
        <v>1</v>
      </c>
      <c r="B72" s="2">
        <v>1543</v>
      </c>
      <c r="C72" s="4">
        <v>16256</v>
      </c>
    </row>
    <row r="73" spans="1:3" ht="15" thickBot="1" x14ac:dyDescent="0.35">
      <c r="A73" s="15" t="s">
        <v>2</v>
      </c>
      <c r="B73" s="2">
        <v>2832</v>
      </c>
      <c r="C73" s="4">
        <v>20720</v>
      </c>
    </row>
    <row r="74" spans="1:3" ht="15" thickBot="1" x14ac:dyDescent="0.35">
      <c r="A74" s="15" t="s">
        <v>3</v>
      </c>
      <c r="B74" s="2">
        <v>4147</v>
      </c>
      <c r="C74" s="4">
        <v>11651</v>
      </c>
    </row>
    <row r="75" spans="1:3" ht="15" thickBot="1" x14ac:dyDescent="0.35">
      <c r="A75" s="15" t="s">
        <v>1</v>
      </c>
      <c r="B75" s="2">
        <v>4808</v>
      </c>
      <c r="C75" s="4">
        <v>29194</v>
      </c>
    </row>
    <row r="76" spans="1:3" ht="15" thickBot="1" x14ac:dyDescent="0.35">
      <c r="A76" s="15" t="s">
        <v>3</v>
      </c>
      <c r="B76" s="2">
        <v>6201</v>
      </c>
      <c r="C76" s="4">
        <v>43598</v>
      </c>
    </row>
    <row r="77" spans="1:3" ht="15" thickBot="1" x14ac:dyDescent="0.35">
      <c r="A77" s="15" t="s">
        <v>4</v>
      </c>
      <c r="B77" s="2">
        <v>2421</v>
      </c>
      <c r="C77" s="4">
        <v>43937</v>
      </c>
    </row>
    <row r="78" spans="1:3" ht="15" thickBot="1" x14ac:dyDescent="0.35">
      <c r="A78" s="15" t="s">
        <v>2</v>
      </c>
      <c r="B78" s="2">
        <v>7767</v>
      </c>
      <c r="C78" s="4">
        <v>35051</v>
      </c>
    </row>
    <row r="79" spans="1:3" ht="15" thickBot="1" x14ac:dyDescent="0.35">
      <c r="A79" s="15" t="s">
        <v>3</v>
      </c>
      <c r="B79" s="2">
        <v>7115</v>
      </c>
      <c r="C79" s="4">
        <v>37386</v>
      </c>
    </row>
    <row r="80" spans="1:3" ht="15" thickBot="1" x14ac:dyDescent="0.35">
      <c r="A80" s="15" t="s">
        <v>2</v>
      </c>
      <c r="B80" s="2">
        <v>3011</v>
      </c>
      <c r="C80" s="4">
        <v>19518</v>
      </c>
    </row>
    <row r="81" spans="1:3" ht="15" thickBot="1" x14ac:dyDescent="0.35">
      <c r="A81" s="15" t="s">
        <v>2</v>
      </c>
      <c r="B81" s="2">
        <v>5478</v>
      </c>
      <c r="C81" s="4">
        <v>56026</v>
      </c>
    </row>
    <row r="82" spans="1:3" ht="15" thickBot="1" x14ac:dyDescent="0.35">
      <c r="A82" s="15" t="s">
        <v>1</v>
      </c>
      <c r="B82" s="2">
        <v>8487</v>
      </c>
      <c r="C82" s="4">
        <v>20028</v>
      </c>
    </row>
    <row r="83" spans="1:3" ht="15" thickBot="1" x14ac:dyDescent="0.35">
      <c r="A83" s="15" t="s">
        <v>1</v>
      </c>
      <c r="B83" s="2">
        <v>7565</v>
      </c>
      <c r="C83" s="4">
        <v>26184</v>
      </c>
    </row>
    <row r="84" spans="1:3" ht="15" thickBot="1" x14ac:dyDescent="0.35">
      <c r="A84" s="15" t="s">
        <v>3</v>
      </c>
      <c r="B84" s="2">
        <v>6918</v>
      </c>
      <c r="C84" s="4">
        <v>43787</v>
      </c>
    </row>
    <row r="85" spans="1:3" ht="15" thickBot="1" x14ac:dyDescent="0.35">
      <c r="A85" s="15" t="s">
        <v>1</v>
      </c>
      <c r="B85" s="2">
        <v>7921</v>
      </c>
      <c r="C85" s="4">
        <v>31621</v>
      </c>
    </row>
    <row r="86" spans="1:3" ht="15" thickBot="1" x14ac:dyDescent="0.35">
      <c r="A86" s="15" t="s">
        <v>3</v>
      </c>
      <c r="B86" s="2">
        <v>6439</v>
      </c>
      <c r="C86" s="4">
        <v>22448</v>
      </c>
    </row>
    <row r="87" spans="1:3" ht="15" thickBot="1" x14ac:dyDescent="0.35">
      <c r="A87" s="15" t="s">
        <v>3</v>
      </c>
      <c r="B87" s="2">
        <v>6003</v>
      </c>
      <c r="C87" s="4">
        <v>55253</v>
      </c>
    </row>
    <row r="88" spans="1:3" ht="15" thickBot="1" x14ac:dyDescent="0.35">
      <c r="A88" s="15" t="s">
        <v>4</v>
      </c>
      <c r="B88" s="2">
        <v>6452</v>
      </c>
      <c r="C88" s="4">
        <v>44051</v>
      </c>
    </row>
    <row r="89" spans="1:3" ht="15" thickBot="1" x14ac:dyDescent="0.35">
      <c r="A89" s="15" t="s">
        <v>4</v>
      </c>
      <c r="B89" s="2">
        <v>8360</v>
      </c>
      <c r="C89" s="4">
        <v>59811</v>
      </c>
    </row>
    <row r="90" spans="1:3" ht="15" thickBot="1" x14ac:dyDescent="0.35">
      <c r="A90" s="15" t="s">
        <v>4</v>
      </c>
      <c r="B90" s="2">
        <v>4942</v>
      </c>
      <c r="C90" s="4">
        <v>44501</v>
      </c>
    </row>
    <row r="91" spans="1:3" ht="15" thickBot="1" x14ac:dyDescent="0.35">
      <c r="A91" s="15" t="s">
        <v>2</v>
      </c>
      <c r="B91" s="2">
        <v>1469</v>
      </c>
      <c r="C91" s="4">
        <v>40254</v>
      </c>
    </row>
    <row r="92" spans="1:3" ht="15" thickBot="1" x14ac:dyDescent="0.35">
      <c r="A92" s="15" t="s">
        <v>2</v>
      </c>
      <c r="B92" s="2">
        <v>7218</v>
      </c>
      <c r="C92" s="4">
        <v>40447</v>
      </c>
    </row>
    <row r="93" spans="1:3" ht="15" thickBot="1" x14ac:dyDescent="0.35">
      <c r="A93" s="15" t="s">
        <v>3</v>
      </c>
      <c r="B93" s="2">
        <v>3056</v>
      </c>
      <c r="C93" s="4">
        <v>28394</v>
      </c>
    </row>
    <row r="94" spans="1:3" ht="15" thickBot="1" x14ac:dyDescent="0.35">
      <c r="A94" s="15" t="s">
        <v>4</v>
      </c>
      <c r="B94" s="2">
        <v>4882</v>
      </c>
      <c r="C94" s="4">
        <v>24472</v>
      </c>
    </row>
    <row r="95" spans="1:3" ht="15" thickBot="1" x14ac:dyDescent="0.35">
      <c r="A95" s="15" t="s">
        <v>3</v>
      </c>
      <c r="B95" s="2">
        <v>5220</v>
      </c>
      <c r="C95" s="4">
        <v>55657</v>
      </c>
    </row>
    <row r="96" spans="1:3" ht="15" thickBot="1" x14ac:dyDescent="0.35">
      <c r="A96" s="15" t="s">
        <v>2</v>
      </c>
      <c r="B96" s="2">
        <v>1017</v>
      </c>
      <c r="C96" s="4">
        <v>28509</v>
      </c>
    </row>
    <row r="97" spans="1:3" ht="15" thickBot="1" x14ac:dyDescent="0.35">
      <c r="A97" s="15" t="s">
        <v>2</v>
      </c>
      <c r="B97" s="2">
        <v>8632</v>
      </c>
      <c r="C97" s="4">
        <v>58998</v>
      </c>
    </row>
    <row r="98" spans="1:3" ht="15" thickBot="1" x14ac:dyDescent="0.35">
      <c r="A98" s="15" t="s">
        <v>4</v>
      </c>
      <c r="B98" s="2">
        <v>3179</v>
      </c>
      <c r="C98" s="4">
        <v>40268</v>
      </c>
    </row>
    <row r="99" spans="1:3" ht="15" thickBot="1" x14ac:dyDescent="0.35">
      <c r="A99" s="15" t="s">
        <v>4</v>
      </c>
      <c r="B99" s="2">
        <v>6469</v>
      </c>
      <c r="C99" s="4">
        <v>18329</v>
      </c>
    </row>
    <row r="100" spans="1:3" ht="15" thickBot="1" x14ac:dyDescent="0.35">
      <c r="A100" s="15" t="s">
        <v>1</v>
      </c>
      <c r="B100" s="2">
        <v>5206</v>
      </c>
      <c r="C100" s="4">
        <v>13471</v>
      </c>
    </row>
    <row r="101" spans="1:3" ht="15" thickBot="1" x14ac:dyDescent="0.35">
      <c r="A101" s="15" t="s">
        <v>2</v>
      </c>
      <c r="B101" s="2">
        <v>6384</v>
      </c>
      <c r="C101" s="4">
        <v>51796</v>
      </c>
    </row>
    <row r="102" spans="1:3" ht="15" thickBot="1" x14ac:dyDescent="0.35">
      <c r="A102" s="15" t="s">
        <v>1</v>
      </c>
      <c r="B102" s="2">
        <v>8485</v>
      </c>
      <c r="C102" s="4">
        <v>44865</v>
      </c>
    </row>
    <row r="103" spans="1:3" ht="15" thickBot="1" x14ac:dyDescent="0.35">
      <c r="A103" s="15" t="s">
        <v>1</v>
      </c>
      <c r="B103" s="2">
        <v>6052</v>
      </c>
      <c r="C103" s="4">
        <v>56850</v>
      </c>
    </row>
    <row r="104" spans="1:3" ht="15" thickBot="1" x14ac:dyDescent="0.35">
      <c r="A104" s="15" t="s">
        <v>4</v>
      </c>
      <c r="B104" s="2">
        <v>8945</v>
      </c>
      <c r="C104" s="4">
        <v>56698</v>
      </c>
    </row>
    <row r="105" spans="1:3" ht="15" thickBot="1" x14ac:dyDescent="0.35">
      <c r="A105" s="15" t="s">
        <v>3</v>
      </c>
      <c r="B105" s="2">
        <v>5143</v>
      </c>
      <c r="C105" s="4">
        <v>38272</v>
      </c>
    </row>
    <row r="106" spans="1:3" ht="15" thickBot="1" x14ac:dyDescent="0.35">
      <c r="A106" s="15" t="s">
        <v>1</v>
      </c>
      <c r="B106" s="2">
        <v>1369</v>
      </c>
      <c r="C106" s="4">
        <v>52845</v>
      </c>
    </row>
    <row r="107" spans="1:3" ht="15" thickBot="1" x14ac:dyDescent="0.35">
      <c r="A107" s="15" t="s">
        <v>4</v>
      </c>
      <c r="B107" s="2">
        <v>5402</v>
      </c>
      <c r="C107" s="4">
        <v>16397</v>
      </c>
    </row>
    <row r="108" spans="1:3" ht="15" thickBot="1" x14ac:dyDescent="0.35">
      <c r="A108" s="15" t="s">
        <v>1</v>
      </c>
      <c r="B108" s="2">
        <v>7630</v>
      </c>
      <c r="C108" s="4">
        <v>42373</v>
      </c>
    </row>
    <row r="109" spans="1:3" ht="15" thickBot="1" x14ac:dyDescent="0.35">
      <c r="A109" s="15" t="s">
        <v>3</v>
      </c>
      <c r="B109" s="2">
        <v>3929</v>
      </c>
      <c r="C109" s="4">
        <v>45525</v>
      </c>
    </row>
    <row r="110" spans="1:3" ht="15" thickBot="1" x14ac:dyDescent="0.35">
      <c r="A110" s="15" t="s">
        <v>4</v>
      </c>
      <c r="B110" s="2">
        <v>949</v>
      </c>
      <c r="C110" s="4">
        <v>33284</v>
      </c>
    </row>
    <row r="111" spans="1:3" ht="15" thickBot="1" x14ac:dyDescent="0.35">
      <c r="A111" s="15" t="s">
        <v>3</v>
      </c>
      <c r="B111" s="2">
        <v>4790</v>
      </c>
      <c r="C111" s="4">
        <v>28994</v>
      </c>
    </row>
    <row r="112" spans="1:3" ht="15" thickBot="1" x14ac:dyDescent="0.35">
      <c r="A112" s="15" t="s">
        <v>1</v>
      </c>
      <c r="B112" s="2">
        <v>3461</v>
      </c>
      <c r="C112" s="4">
        <v>28284</v>
      </c>
    </row>
    <row r="113" spans="1:3" ht="15" thickBot="1" x14ac:dyDescent="0.35">
      <c r="A113" s="15" t="s">
        <v>2</v>
      </c>
      <c r="B113" s="2">
        <v>6642</v>
      </c>
      <c r="C113" s="4">
        <v>34570</v>
      </c>
    </row>
    <row r="114" spans="1:3" ht="15" thickBot="1" x14ac:dyDescent="0.35">
      <c r="A114" s="15" t="s">
        <v>1</v>
      </c>
      <c r="B114" s="2">
        <v>3592</v>
      </c>
      <c r="C114" s="4">
        <v>27833</v>
      </c>
    </row>
    <row r="115" spans="1:3" ht="15" thickBot="1" x14ac:dyDescent="0.35">
      <c r="A115" s="15" t="s">
        <v>1</v>
      </c>
      <c r="B115" s="2">
        <v>1210</v>
      </c>
      <c r="C115" s="4">
        <v>35122</v>
      </c>
    </row>
    <row r="116" spans="1:3" ht="15" thickBot="1" x14ac:dyDescent="0.35">
      <c r="A116" s="15" t="s">
        <v>4</v>
      </c>
      <c r="B116" s="2">
        <v>8527</v>
      </c>
      <c r="C116" s="4">
        <v>15017</v>
      </c>
    </row>
    <row r="117" spans="1:3" ht="15" thickBot="1" x14ac:dyDescent="0.35">
      <c r="A117" s="15" t="s">
        <v>2</v>
      </c>
      <c r="B117" s="2">
        <v>6275</v>
      </c>
      <c r="C117" s="4">
        <v>26370</v>
      </c>
    </row>
    <row r="118" spans="1:3" ht="15" thickBot="1" x14ac:dyDescent="0.35">
      <c r="A118" s="15" t="s">
        <v>4</v>
      </c>
      <c r="B118" s="2">
        <v>1367</v>
      </c>
      <c r="C118" s="4">
        <v>39252</v>
      </c>
    </row>
    <row r="119" spans="1:3" ht="15" thickBot="1" x14ac:dyDescent="0.35">
      <c r="A119" s="15" t="s">
        <v>1</v>
      </c>
      <c r="B119" s="2">
        <v>4314</v>
      </c>
      <c r="C119" s="4">
        <v>17999</v>
      </c>
    </row>
    <row r="120" spans="1:3" ht="15" thickBot="1" x14ac:dyDescent="0.35">
      <c r="A120" s="15" t="s">
        <v>4</v>
      </c>
      <c r="B120" s="2">
        <v>6174</v>
      </c>
      <c r="C120" s="4">
        <v>32436</v>
      </c>
    </row>
    <row r="121" spans="1:3" ht="15" thickBot="1" x14ac:dyDescent="0.35">
      <c r="A121" s="15" t="s">
        <v>3</v>
      </c>
      <c r="B121" s="2">
        <v>7328</v>
      </c>
      <c r="C121" s="4">
        <v>52963</v>
      </c>
    </row>
    <row r="122" spans="1:3" ht="15" thickBot="1" x14ac:dyDescent="0.35">
      <c r="A122" s="15" t="s">
        <v>4</v>
      </c>
      <c r="B122" s="2">
        <v>8377</v>
      </c>
      <c r="C122" s="4">
        <v>35279</v>
      </c>
    </row>
    <row r="123" spans="1:3" ht="15" thickBot="1" x14ac:dyDescent="0.35">
      <c r="A123" s="15" t="s">
        <v>2</v>
      </c>
      <c r="B123" s="2">
        <v>3079</v>
      </c>
      <c r="C123" s="4">
        <v>53363</v>
      </c>
    </row>
    <row r="124" spans="1:3" ht="15" thickBot="1" x14ac:dyDescent="0.35">
      <c r="A124" s="15" t="s">
        <v>4</v>
      </c>
      <c r="B124" s="2">
        <v>8200</v>
      </c>
      <c r="C124" s="4">
        <v>12096</v>
      </c>
    </row>
    <row r="125" spans="1:3" ht="15" thickBot="1" x14ac:dyDescent="0.35">
      <c r="A125" s="15" t="s">
        <v>1</v>
      </c>
      <c r="B125" s="2">
        <v>4214</v>
      </c>
      <c r="C125" s="4">
        <v>58201</v>
      </c>
    </row>
    <row r="126" spans="1:3" ht="15" thickBot="1" x14ac:dyDescent="0.35">
      <c r="A126" s="15" t="s">
        <v>4</v>
      </c>
      <c r="B126" s="2">
        <v>9254</v>
      </c>
      <c r="C126" s="4">
        <v>58709</v>
      </c>
    </row>
    <row r="127" spans="1:3" ht="15" thickBot="1" x14ac:dyDescent="0.35">
      <c r="A127" s="15" t="s">
        <v>2</v>
      </c>
      <c r="B127" s="2">
        <v>7668</v>
      </c>
      <c r="C127" s="4">
        <v>36201</v>
      </c>
    </row>
    <row r="128" spans="1:3" ht="15" thickBot="1" x14ac:dyDescent="0.35">
      <c r="A128" s="15" t="s">
        <v>3</v>
      </c>
      <c r="B128" s="2">
        <v>8601</v>
      </c>
      <c r="C128" s="4">
        <v>29715</v>
      </c>
    </row>
    <row r="129" spans="1:3" ht="15" thickBot="1" x14ac:dyDescent="0.35">
      <c r="A129" s="15" t="s">
        <v>2</v>
      </c>
      <c r="B129" s="2">
        <v>1534</v>
      </c>
      <c r="C129" s="4">
        <v>39309</v>
      </c>
    </row>
    <row r="130" spans="1:3" ht="15" thickBot="1" x14ac:dyDescent="0.35">
      <c r="A130" s="15" t="s">
        <v>4</v>
      </c>
      <c r="B130" s="2">
        <v>7471</v>
      </c>
      <c r="C130" s="4">
        <v>25078</v>
      </c>
    </row>
    <row r="131" spans="1:3" ht="15" thickBot="1" x14ac:dyDescent="0.35">
      <c r="A131" s="15" t="s">
        <v>1</v>
      </c>
      <c r="B131" s="2">
        <v>2919</v>
      </c>
      <c r="C131" s="4">
        <v>15105</v>
      </c>
    </row>
    <row r="132" spans="1:3" ht="15" thickBot="1" x14ac:dyDescent="0.35">
      <c r="A132" s="15" t="s">
        <v>2</v>
      </c>
      <c r="B132" s="2">
        <v>7346</v>
      </c>
      <c r="C132" s="4">
        <v>39312</v>
      </c>
    </row>
    <row r="133" spans="1:3" ht="15" thickBot="1" x14ac:dyDescent="0.35">
      <c r="A133" s="15" t="s">
        <v>3</v>
      </c>
      <c r="B133" s="2">
        <v>1001</v>
      </c>
      <c r="C133" s="4">
        <v>12839</v>
      </c>
    </row>
    <row r="134" spans="1:3" ht="15" thickBot="1" x14ac:dyDescent="0.35">
      <c r="A134" s="15" t="s">
        <v>2</v>
      </c>
      <c r="B134" s="2">
        <v>4216</v>
      </c>
      <c r="C134" s="4">
        <v>52821</v>
      </c>
    </row>
    <row r="135" spans="1:3" ht="15" thickBot="1" x14ac:dyDescent="0.35">
      <c r="A135" s="15" t="s">
        <v>3</v>
      </c>
      <c r="B135" s="2">
        <v>7654</v>
      </c>
      <c r="C135" s="4">
        <v>23493</v>
      </c>
    </row>
    <row r="136" spans="1:3" ht="15" thickBot="1" x14ac:dyDescent="0.35">
      <c r="A136" s="15" t="s">
        <v>2</v>
      </c>
      <c r="B136" s="2">
        <v>8518</v>
      </c>
      <c r="C136" s="4">
        <v>13384</v>
      </c>
    </row>
    <row r="137" spans="1:3" ht="15" thickBot="1" x14ac:dyDescent="0.35">
      <c r="A137" s="15" t="s">
        <v>2</v>
      </c>
      <c r="B137" s="2">
        <v>7421</v>
      </c>
      <c r="C137" s="4">
        <v>53619</v>
      </c>
    </row>
    <row r="138" spans="1:3" ht="15" thickBot="1" x14ac:dyDescent="0.35">
      <c r="A138" s="15" t="s">
        <v>4</v>
      </c>
      <c r="B138" s="2">
        <v>7260</v>
      </c>
      <c r="C138" s="4">
        <v>27069</v>
      </c>
    </row>
    <row r="139" spans="1:3" ht="15" thickBot="1" x14ac:dyDescent="0.35">
      <c r="A139" s="15" t="s">
        <v>2</v>
      </c>
      <c r="B139" s="2">
        <v>6361</v>
      </c>
      <c r="C139" s="4">
        <v>56907</v>
      </c>
    </row>
    <row r="140" spans="1:3" ht="15" thickBot="1" x14ac:dyDescent="0.35">
      <c r="A140" s="15" t="s">
        <v>2</v>
      </c>
      <c r="B140" s="2">
        <v>5428</v>
      </c>
      <c r="C140" s="4">
        <v>17531</v>
      </c>
    </row>
    <row r="141" spans="1:3" ht="15" thickBot="1" x14ac:dyDescent="0.35">
      <c r="A141" s="15" t="s">
        <v>1</v>
      </c>
      <c r="B141" s="2">
        <v>3643</v>
      </c>
      <c r="C141" s="4">
        <v>47051</v>
      </c>
    </row>
    <row r="142" spans="1:3" ht="15" thickBot="1" x14ac:dyDescent="0.35">
      <c r="A142" s="15" t="s">
        <v>3</v>
      </c>
      <c r="B142" s="2">
        <v>3805</v>
      </c>
      <c r="C142" s="4">
        <v>17736</v>
      </c>
    </row>
    <row r="143" spans="1:3" ht="15" thickBot="1" x14ac:dyDescent="0.35">
      <c r="A143" s="15" t="s">
        <v>2</v>
      </c>
      <c r="B143" s="2">
        <v>8128</v>
      </c>
      <c r="C143" s="4">
        <v>17710</v>
      </c>
    </row>
    <row r="144" spans="1:3" ht="15" thickBot="1" x14ac:dyDescent="0.35">
      <c r="A144" s="15" t="s">
        <v>3</v>
      </c>
      <c r="B144" s="2">
        <v>8642</v>
      </c>
      <c r="C144" s="4">
        <v>11619</v>
      </c>
    </row>
    <row r="145" spans="1:3" ht="15" thickBot="1" x14ac:dyDescent="0.35">
      <c r="A145" s="15" t="s">
        <v>2</v>
      </c>
      <c r="B145" s="2">
        <v>7958</v>
      </c>
      <c r="C145" s="4">
        <v>23975</v>
      </c>
    </row>
    <row r="146" spans="1:3" ht="15" thickBot="1" x14ac:dyDescent="0.35">
      <c r="A146" s="15" t="s">
        <v>4</v>
      </c>
      <c r="B146" s="2">
        <v>3420</v>
      </c>
      <c r="C146" s="4">
        <v>55603</v>
      </c>
    </row>
    <row r="147" spans="1:3" ht="15" thickBot="1" x14ac:dyDescent="0.35">
      <c r="A147" s="15" t="s">
        <v>4</v>
      </c>
      <c r="B147" s="2">
        <v>2525</v>
      </c>
      <c r="C147" s="4">
        <v>33252</v>
      </c>
    </row>
    <row r="148" spans="1:3" ht="15" thickBot="1" x14ac:dyDescent="0.35">
      <c r="A148" s="15" t="s">
        <v>2</v>
      </c>
      <c r="B148" s="2">
        <v>1020</v>
      </c>
      <c r="C148" s="4">
        <v>25261</v>
      </c>
    </row>
    <row r="149" spans="1:3" ht="15" thickBot="1" x14ac:dyDescent="0.35">
      <c r="A149" s="15" t="s">
        <v>4</v>
      </c>
      <c r="B149" s="2">
        <v>6677</v>
      </c>
      <c r="C149" s="4">
        <v>11431</v>
      </c>
    </row>
    <row r="150" spans="1:3" ht="15" thickBot="1" x14ac:dyDescent="0.35">
      <c r="A150" s="15" t="s">
        <v>1</v>
      </c>
      <c r="B150" s="2">
        <v>6029</v>
      </c>
      <c r="C150" s="4">
        <v>19557</v>
      </c>
    </row>
    <row r="151" spans="1:3" ht="15" thickBot="1" x14ac:dyDescent="0.35">
      <c r="A151" s="15" t="s">
        <v>1</v>
      </c>
      <c r="B151" s="2">
        <v>5439</v>
      </c>
      <c r="C151" s="4">
        <v>37037</v>
      </c>
    </row>
    <row r="152" spans="1:3" ht="15" thickBot="1" x14ac:dyDescent="0.35">
      <c r="A152" s="15" t="s">
        <v>2</v>
      </c>
      <c r="B152" s="2">
        <v>1290</v>
      </c>
      <c r="C152" s="4">
        <v>19067</v>
      </c>
    </row>
    <row r="153" spans="1:3" ht="15" thickBot="1" x14ac:dyDescent="0.35">
      <c r="A153" s="15" t="s">
        <v>4</v>
      </c>
      <c r="B153" s="2">
        <v>5101</v>
      </c>
      <c r="C153" s="4">
        <v>47481</v>
      </c>
    </row>
    <row r="154" spans="1:3" ht="15" thickBot="1" x14ac:dyDescent="0.35">
      <c r="A154" s="15" t="s">
        <v>1</v>
      </c>
      <c r="B154" s="2">
        <v>9125</v>
      </c>
      <c r="C154" s="4">
        <v>19435</v>
      </c>
    </row>
    <row r="155" spans="1:3" ht="15" thickBot="1" x14ac:dyDescent="0.35">
      <c r="A155" s="15" t="s">
        <v>3</v>
      </c>
      <c r="B155" s="2">
        <v>8979</v>
      </c>
      <c r="C155" s="4">
        <v>47766</v>
      </c>
    </row>
    <row r="156" spans="1:3" ht="15" thickBot="1" x14ac:dyDescent="0.35">
      <c r="A156" s="15" t="s">
        <v>3</v>
      </c>
      <c r="B156" s="2">
        <v>6380</v>
      </c>
      <c r="C156" s="4">
        <v>10162</v>
      </c>
    </row>
    <row r="157" spans="1:3" ht="15" thickBot="1" x14ac:dyDescent="0.35">
      <c r="A157" s="15" t="s">
        <v>1</v>
      </c>
      <c r="B157" s="2">
        <v>5962</v>
      </c>
      <c r="C157" s="4">
        <v>44742</v>
      </c>
    </row>
    <row r="158" spans="1:3" ht="15" thickBot="1" x14ac:dyDescent="0.35">
      <c r="A158" s="15" t="s">
        <v>3</v>
      </c>
      <c r="B158" s="2">
        <v>6631</v>
      </c>
      <c r="C158" s="4">
        <v>29675</v>
      </c>
    </row>
    <row r="159" spans="1:3" ht="15" thickBot="1" x14ac:dyDescent="0.35">
      <c r="A159" s="15" t="s">
        <v>4</v>
      </c>
      <c r="B159" s="2">
        <v>7432</v>
      </c>
      <c r="C159" s="4">
        <v>18461</v>
      </c>
    </row>
    <row r="160" spans="1:3" ht="15" thickBot="1" x14ac:dyDescent="0.35">
      <c r="A160" s="15" t="s">
        <v>2</v>
      </c>
      <c r="B160" s="2">
        <v>2081</v>
      </c>
      <c r="C160" s="4">
        <v>27015</v>
      </c>
    </row>
    <row r="161" spans="1:3" ht="15" thickBot="1" x14ac:dyDescent="0.35">
      <c r="A161" s="15" t="s">
        <v>2</v>
      </c>
      <c r="B161" s="2">
        <v>4245</v>
      </c>
      <c r="C161" s="4">
        <v>42591</v>
      </c>
    </row>
    <row r="162" spans="1:3" ht="15" thickBot="1" x14ac:dyDescent="0.35">
      <c r="A162" s="15" t="s">
        <v>3</v>
      </c>
      <c r="B162" s="2">
        <v>3555</v>
      </c>
      <c r="C162" s="4">
        <v>19833</v>
      </c>
    </row>
    <row r="163" spans="1:3" ht="15" thickBot="1" x14ac:dyDescent="0.35">
      <c r="A163" s="15" t="s">
        <v>4</v>
      </c>
      <c r="B163" s="2">
        <v>2535</v>
      </c>
      <c r="C163" s="4">
        <v>17896</v>
      </c>
    </row>
    <row r="164" spans="1:3" ht="15" thickBot="1" x14ac:dyDescent="0.35">
      <c r="A164" s="15" t="s">
        <v>1</v>
      </c>
      <c r="B164" s="2">
        <v>2994</v>
      </c>
      <c r="C164" s="4">
        <v>44782</v>
      </c>
    </row>
    <row r="165" spans="1:3" ht="15" thickBot="1" x14ac:dyDescent="0.35">
      <c r="A165" s="15" t="s">
        <v>2</v>
      </c>
      <c r="B165" s="2">
        <v>8723</v>
      </c>
      <c r="C165" s="4">
        <v>38047</v>
      </c>
    </row>
    <row r="166" spans="1:3" ht="15" thickBot="1" x14ac:dyDescent="0.35">
      <c r="A166" s="15" t="s">
        <v>4</v>
      </c>
      <c r="B166" s="2">
        <v>7509</v>
      </c>
      <c r="C166" s="4">
        <v>42972</v>
      </c>
    </row>
    <row r="167" spans="1:3" ht="15" thickBot="1" x14ac:dyDescent="0.35">
      <c r="A167" s="15" t="s">
        <v>1</v>
      </c>
      <c r="B167" s="2">
        <v>8292</v>
      </c>
      <c r="C167" s="4">
        <v>59733</v>
      </c>
    </row>
    <row r="168" spans="1:3" ht="15" thickBot="1" x14ac:dyDescent="0.35">
      <c r="A168" s="15" t="s">
        <v>4</v>
      </c>
      <c r="B168" s="2">
        <v>4852</v>
      </c>
      <c r="C168" s="4">
        <v>51800</v>
      </c>
    </row>
    <row r="169" spans="1:3" ht="15" thickBot="1" x14ac:dyDescent="0.35">
      <c r="A169" s="15" t="s">
        <v>4</v>
      </c>
      <c r="B169" s="2">
        <v>7367</v>
      </c>
      <c r="C169" s="4">
        <v>40508</v>
      </c>
    </row>
    <row r="170" spans="1:3" ht="15" thickBot="1" x14ac:dyDescent="0.35">
      <c r="A170" s="15" t="s">
        <v>4</v>
      </c>
      <c r="B170" s="2">
        <v>9044</v>
      </c>
      <c r="C170" s="4">
        <v>15347</v>
      </c>
    </row>
    <row r="171" spans="1:3" ht="15" thickBot="1" x14ac:dyDescent="0.35">
      <c r="A171" s="15" t="s">
        <v>4</v>
      </c>
      <c r="B171" s="2">
        <v>2848</v>
      </c>
      <c r="C171" s="4">
        <v>40314</v>
      </c>
    </row>
    <row r="172" spans="1:3" ht="15" thickBot="1" x14ac:dyDescent="0.35">
      <c r="A172" s="15" t="s">
        <v>3</v>
      </c>
      <c r="B172" s="2">
        <v>4189</v>
      </c>
      <c r="C172" s="4">
        <v>12643</v>
      </c>
    </row>
    <row r="173" spans="1:3" ht="15" thickBot="1" x14ac:dyDescent="0.35">
      <c r="A173" s="15" t="s">
        <v>4</v>
      </c>
      <c r="B173" s="2">
        <v>9335</v>
      </c>
      <c r="C173" s="4">
        <v>50785</v>
      </c>
    </row>
    <row r="174" spans="1:3" ht="15" thickBot="1" x14ac:dyDescent="0.35">
      <c r="A174" s="15" t="s">
        <v>4</v>
      </c>
      <c r="B174" s="2">
        <v>1660</v>
      </c>
      <c r="C174" s="4">
        <v>57299</v>
      </c>
    </row>
    <row r="175" spans="1:3" ht="15" thickBot="1" x14ac:dyDescent="0.35">
      <c r="A175" s="15" t="s">
        <v>3</v>
      </c>
      <c r="B175" s="2">
        <v>1567</v>
      </c>
      <c r="C175" s="4">
        <v>25892</v>
      </c>
    </row>
    <row r="176" spans="1:3" ht="15" thickBot="1" x14ac:dyDescent="0.35">
      <c r="A176" s="15" t="s">
        <v>1</v>
      </c>
      <c r="B176" s="2">
        <v>6128</v>
      </c>
      <c r="C176" s="4">
        <v>48328</v>
      </c>
    </row>
    <row r="177" spans="1:3" ht="15" thickBot="1" x14ac:dyDescent="0.35">
      <c r="A177" s="15" t="s">
        <v>2</v>
      </c>
      <c r="B177" s="2">
        <v>6272</v>
      </c>
      <c r="C177" s="4">
        <v>28681</v>
      </c>
    </row>
    <row r="178" spans="1:3" ht="15" thickBot="1" x14ac:dyDescent="0.35">
      <c r="A178" s="15" t="s">
        <v>3</v>
      </c>
      <c r="B178" s="2">
        <v>6434</v>
      </c>
      <c r="C178" s="4">
        <v>27073</v>
      </c>
    </row>
    <row r="179" spans="1:3" ht="15" thickBot="1" x14ac:dyDescent="0.35">
      <c r="A179" s="15" t="s">
        <v>4</v>
      </c>
      <c r="B179" s="2">
        <v>4542</v>
      </c>
      <c r="C179" s="4">
        <v>46768</v>
      </c>
    </row>
    <row r="180" spans="1:3" ht="15" thickBot="1" x14ac:dyDescent="0.35">
      <c r="A180" s="15" t="s">
        <v>2</v>
      </c>
      <c r="B180" s="2">
        <v>8319</v>
      </c>
      <c r="C180" s="4">
        <v>40682</v>
      </c>
    </row>
    <row r="181" spans="1:3" ht="15" thickBot="1" x14ac:dyDescent="0.35">
      <c r="A181" s="15" t="s">
        <v>1</v>
      </c>
      <c r="B181" s="2">
        <v>1425</v>
      </c>
      <c r="C181" s="4">
        <v>42262</v>
      </c>
    </row>
    <row r="182" spans="1:3" ht="15" thickBot="1" x14ac:dyDescent="0.35">
      <c r="A182" s="15" t="s">
        <v>4</v>
      </c>
      <c r="B182" s="2">
        <v>7849</v>
      </c>
      <c r="C182" s="4">
        <v>41358</v>
      </c>
    </row>
    <row r="183" spans="1:3" ht="15" thickBot="1" x14ac:dyDescent="0.35">
      <c r="A183" s="15" t="s">
        <v>4</v>
      </c>
      <c r="B183" s="2">
        <v>6368</v>
      </c>
      <c r="C183" s="4">
        <v>24289</v>
      </c>
    </row>
    <row r="184" spans="1:3" ht="15" thickBot="1" x14ac:dyDescent="0.35">
      <c r="A184" s="15" t="s">
        <v>4</v>
      </c>
      <c r="B184" s="2">
        <v>4788</v>
      </c>
      <c r="C184" s="4">
        <v>59823</v>
      </c>
    </row>
    <row r="185" spans="1:3" ht="15" thickBot="1" x14ac:dyDescent="0.35">
      <c r="A185" s="15" t="s">
        <v>4</v>
      </c>
      <c r="B185" s="2">
        <v>5990</v>
      </c>
      <c r="C185" s="4">
        <v>17927</v>
      </c>
    </row>
    <row r="186" spans="1:3" ht="15" thickBot="1" x14ac:dyDescent="0.35">
      <c r="A186" s="15" t="s">
        <v>1</v>
      </c>
      <c r="B186" s="2">
        <v>3096</v>
      </c>
      <c r="C186" s="4">
        <v>51903</v>
      </c>
    </row>
    <row r="187" spans="1:3" ht="15" thickBot="1" x14ac:dyDescent="0.35">
      <c r="A187" s="15" t="s">
        <v>2</v>
      </c>
      <c r="B187" s="2">
        <v>7058</v>
      </c>
      <c r="C187" s="4">
        <v>21918</v>
      </c>
    </row>
    <row r="188" spans="1:3" ht="15" thickBot="1" x14ac:dyDescent="0.35">
      <c r="A188" s="15" t="s">
        <v>1</v>
      </c>
      <c r="B188" s="2">
        <v>6425</v>
      </c>
      <c r="C188" s="4">
        <v>11171</v>
      </c>
    </row>
    <row r="189" spans="1:3" ht="15" thickBot="1" x14ac:dyDescent="0.35">
      <c r="A189" s="15" t="s">
        <v>1</v>
      </c>
      <c r="B189" s="2">
        <v>5491</v>
      </c>
      <c r="C189" s="4">
        <v>58330</v>
      </c>
    </row>
    <row r="190" spans="1:3" ht="15" thickBot="1" x14ac:dyDescent="0.35">
      <c r="A190" s="15" t="s">
        <v>4</v>
      </c>
      <c r="B190" s="2">
        <v>1512</v>
      </c>
      <c r="C190" s="4">
        <v>49110</v>
      </c>
    </row>
    <row r="191" spans="1:3" ht="15" thickBot="1" x14ac:dyDescent="0.35">
      <c r="A191" s="15" t="s">
        <v>2</v>
      </c>
      <c r="B191" s="2">
        <v>2926</v>
      </c>
      <c r="C191" s="4">
        <v>21929</v>
      </c>
    </row>
    <row r="192" spans="1:3" ht="15" thickBot="1" x14ac:dyDescent="0.35">
      <c r="A192" s="15" t="s">
        <v>2</v>
      </c>
      <c r="B192" s="2">
        <v>7555</v>
      </c>
      <c r="C192" s="4">
        <v>12539</v>
      </c>
    </row>
    <row r="193" spans="1:3" ht="15" thickBot="1" x14ac:dyDescent="0.35">
      <c r="A193" s="15" t="s">
        <v>2</v>
      </c>
      <c r="B193" s="2">
        <v>5456</v>
      </c>
      <c r="C193" s="4">
        <v>46727</v>
      </c>
    </row>
    <row r="194" spans="1:3" ht="15" thickBot="1" x14ac:dyDescent="0.35">
      <c r="A194" s="15" t="s">
        <v>4</v>
      </c>
      <c r="B194" s="2">
        <v>893</v>
      </c>
      <c r="C194" s="4">
        <v>55951</v>
      </c>
    </row>
    <row r="195" spans="1:3" ht="15" thickBot="1" x14ac:dyDescent="0.35">
      <c r="A195" s="15" t="s">
        <v>3</v>
      </c>
      <c r="B195" s="2">
        <v>5210</v>
      </c>
      <c r="C195" s="4">
        <v>32669</v>
      </c>
    </row>
    <row r="196" spans="1:3" ht="15" thickBot="1" x14ac:dyDescent="0.35">
      <c r="A196" s="15" t="s">
        <v>4</v>
      </c>
      <c r="B196" s="2">
        <v>2067</v>
      </c>
      <c r="C196" s="4">
        <v>15432</v>
      </c>
    </row>
    <row r="197" spans="1:3" ht="15" thickBot="1" x14ac:dyDescent="0.35">
      <c r="A197" s="15" t="s">
        <v>1</v>
      </c>
      <c r="B197" s="2">
        <v>7959</v>
      </c>
      <c r="C197" s="4">
        <v>30644</v>
      </c>
    </row>
    <row r="198" spans="1:3" ht="15" thickBot="1" x14ac:dyDescent="0.35">
      <c r="A198" s="15" t="s">
        <v>4</v>
      </c>
      <c r="B198" s="2">
        <v>7025</v>
      </c>
      <c r="C198" s="4">
        <v>38228</v>
      </c>
    </row>
    <row r="199" spans="1:3" ht="15" thickBot="1" x14ac:dyDescent="0.35">
      <c r="A199" s="15" t="s">
        <v>4</v>
      </c>
      <c r="B199" s="2">
        <v>1121</v>
      </c>
      <c r="C199" s="4">
        <v>44521</v>
      </c>
    </row>
    <row r="200" spans="1:3" ht="15" thickBot="1" x14ac:dyDescent="0.35">
      <c r="A200" s="15" t="s">
        <v>1</v>
      </c>
      <c r="B200" s="2">
        <v>2805</v>
      </c>
      <c r="C200" s="4">
        <v>28745</v>
      </c>
    </row>
    <row r="201" spans="1:3" x14ac:dyDescent="0.3">
      <c r="A201" s="16" t="s">
        <v>2</v>
      </c>
      <c r="B201" s="17">
        <v>7436</v>
      </c>
      <c r="C201" s="18">
        <v>41703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E6D7D8-F431-4FCD-9EE3-6096F986DD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6.1</vt:lpstr>
      <vt:lpstr>Task 6.2</vt:lpstr>
      <vt:lpstr>Task 6.3 - Moving Averages</vt:lpstr>
      <vt:lpstr>Task 6.4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SAVARAM</dc:creator>
  <cp:lastModifiedBy>SAI SATHYA DHEERAJ</cp:lastModifiedBy>
  <cp:lastPrinted>2025-11-21T15:51:23Z</cp:lastPrinted>
  <dcterms:created xsi:type="dcterms:W3CDTF">2015-06-05T18:17:20Z</dcterms:created>
  <dcterms:modified xsi:type="dcterms:W3CDTF">2025-12-04T17:40:12Z</dcterms:modified>
</cp:coreProperties>
</file>